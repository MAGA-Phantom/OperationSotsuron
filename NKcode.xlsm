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OperationSotsuron\"/>
    </mc:Choice>
  </mc:AlternateContent>
  <xr:revisionPtr revIDLastSave="0" documentId="13_ncr:1_{5583ED82-8FCA-4F34-9A68-8EB41789E50F}" xr6:coauthVersionLast="44" xr6:coauthVersionMax="44" xr10:uidLastSave="{00000000-0000-0000-0000-000000000000}"/>
  <bookViews>
    <workbookView xWindow="-120" yWindow="-120" windowWidth="29040" windowHeight="16440" tabRatio="500" activeTab="2" xr2:uid="{00000000-000D-0000-FFFF-FFFF00000000}"/>
  </bookViews>
  <sheets>
    <sheet name="検索条件シート" sheetId="1" r:id="rId1"/>
    <sheet name="NKcode" sheetId="2" r:id="rId2"/>
    <sheet name="倒産企業一覧" sheetId="4" r:id="rId3"/>
    <sheet name="Sheet1" sheetId="5" r:id="rId4"/>
  </sheets>
  <externalReferences>
    <externalReference r:id="rId5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64" i="4" l="1"/>
  <c r="G263" i="4"/>
  <c r="G262" i="4"/>
  <c r="G261" i="4"/>
  <c r="G260" i="4"/>
  <c r="G259" i="4"/>
  <c r="G265" i="4" s="1"/>
  <c r="H261" i="4" s="1"/>
  <c r="G253" i="4"/>
  <c r="G252" i="4"/>
  <c r="G248" i="4"/>
  <c r="G251" i="4"/>
  <c r="G250" i="4"/>
  <c r="G249" i="4"/>
  <c r="G254" i="4" s="1"/>
  <c r="G255" i="4" s="1"/>
  <c r="H260" i="4" l="1"/>
  <c r="H258" i="4"/>
  <c r="H265" i="4" s="1"/>
  <c r="H259" i="4"/>
  <c r="H264" i="4"/>
  <c r="H263" i="4"/>
  <c r="H262" i="4"/>
  <c r="D61" i="4"/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K246" i="4" l="1"/>
  <c r="D123" i="4"/>
  <c r="D92" i="4"/>
  <c r="N222" i="4" l="1"/>
  <c r="N223" i="4"/>
  <c r="N224" i="4"/>
  <c r="N225" i="4"/>
  <c r="N227" i="4"/>
  <c r="N231" i="4"/>
  <c r="N236" i="4"/>
  <c r="N242" i="4"/>
  <c r="N58" i="4"/>
  <c r="N66" i="4"/>
  <c r="N89" i="4"/>
  <c r="N90" i="4"/>
  <c r="N98" i="4"/>
  <c r="N99" i="4"/>
  <c r="N118" i="4"/>
  <c r="N127" i="4"/>
  <c r="N128" i="4"/>
  <c r="N139" i="4"/>
  <c r="N144" i="4"/>
  <c r="N166" i="4"/>
  <c r="N169" i="4"/>
  <c r="N172" i="4"/>
  <c r="N181" i="4"/>
  <c r="N182" i="4"/>
  <c r="N183" i="4"/>
  <c r="N193" i="4"/>
  <c r="N197" i="4"/>
  <c r="N202" i="4"/>
  <c r="N203" i="4"/>
  <c r="N206" i="4"/>
  <c r="N208" i="4"/>
  <c r="N214" i="4"/>
  <c r="K251" i="4" l="1"/>
  <c r="K247" i="4"/>
  <c r="K252" i="4"/>
  <c r="M218" i="4"/>
  <c r="N218" i="4" s="1"/>
  <c r="AF3" i="2"/>
  <c r="AG3" i="2"/>
  <c r="AH3" i="2"/>
  <c r="AA3" i="2"/>
  <c r="AB3" i="2"/>
  <c r="AC3" i="2"/>
  <c r="M142" i="4"/>
  <c r="N142" i="4" s="1"/>
  <c r="U3" i="2"/>
  <c r="T3" i="2"/>
  <c r="V3" i="2"/>
  <c r="W3" i="2"/>
  <c r="Y3" i="2"/>
  <c r="J3" i="2"/>
  <c r="D69" i="4"/>
  <c r="M69" i="4" s="1"/>
  <c r="N69" i="4" s="1"/>
  <c r="G3" i="2"/>
  <c r="H3" i="2"/>
  <c r="I3" i="2"/>
  <c r="K3" i="2"/>
  <c r="L3" i="2"/>
  <c r="M3" i="2"/>
  <c r="N3" i="2"/>
  <c r="O3" i="2"/>
  <c r="P3" i="2"/>
  <c r="S3" i="2"/>
  <c r="K249" i="4" l="1"/>
  <c r="K248" i="4"/>
  <c r="K250" i="4" s="1"/>
  <c r="J244" i="4"/>
  <c r="D244" i="4"/>
  <c r="M244" i="4" s="1"/>
  <c r="N244" i="4" s="1"/>
  <c r="C244" i="4"/>
  <c r="E244" i="4" s="1"/>
  <c r="J242" i="4"/>
  <c r="D242" i="4"/>
  <c r="C242" i="4"/>
  <c r="E242" i="4" s="1"/>
  <c r="J241" i="4"/>
  <c r="D241" i="4"/>
  <c r="M241" i="4" s="1"/>
  <c r="N241" i="4" s="1"/>
  <c r="C241" i="4"/>
  <c r="E241" i="4" s="1"/>
  <c r="J239" i="4"/>
  <c r="M239" i="4"/>
  <c r="N239" i="4" s="1"/>
  <c r="C239" i="4"/>
  <c r="E239" i="4" s="1"/>
  <c r="M238" i="4"/>
  <c r="N238" i="4" s="1"/>
  <c r="C238" i="4"/>
  <c r="E238" i="4" s="1"/>
  <c r="J237" i="4"/>
  <c r="M237" i="4"/>
  <c r="N237" i="4" s="1"/>
  <c r="C237" i="4"/>
  <c r="E237" i="4" s="1"/>
  <c r="J236" i="4"/>
  <c r="D236" i="4"/>
  <c r="C236" i="4"/>
  <c r="E236" i="4" s="1"/>
  <c r="J234" i="4"/>
  <c r="D234" i="4"/>
  <c r="M234" i="4" s="1"/>
  <c r="N234" i="4" s="1"/>
  <c r="C234" i="4"/>
  <c r="E234" i="4" s="1"/>
  <c r="J233" i="4"/>
  <c r="D233" i="4"/>
  <c r="M233" i="4" s="1"/>
  <c r="N233" i="4" s="1"/>
  <c r="C233" i="4"/>
  <c r="E233" i="4" s="1"/>
  <c r="J232" i="4"/>
  <c r="D232" i="4"/>
  <c r="M232" i="4" s="1"/>
  <c r="N232" i="4" s="1"/>
  <c r="C232" i="4"/>
  <c r="E232" i="4" s="1"/>
  <c r="J231" i="4"/>
  <c r="D231" i="4"/>
  <c r="C231" i="4"/>
  <c r="E231" i="4" s="1"/>
  <c r="J230" i="4"/>
  <c r="D230" i="4"/>
  <c r="M230" i="4" s="1"/>
  <c r="N230" i="4" s="1"/>
  <c r="C230" i="4"/>
  <c r="E230" i="4" s="1"/>
  <c r="J229" i="4"/>
  <c r="D229" i="4"/>
  <c r="M229" i="4" s="1"/>
  <c r="N229" i="4" s="1"/>
  <c r="C229" i="4"/>
  <c r="E229" i="4" s="1"/>
  <c r="J227" i="4"/>
  <c r="D227" i="4"/>
  <c r="C227" i="4"/>
  <c r="E227" i="4" s="1"/>
  <c r="J226" i="4"/>
  <c r="D226" i="4"/>
  <c r="M226" i="4" s="1"/>
  <c r="N226" i="4" s="1"/>
  <c r="C226" i="4"/>
  <c r="E226" i="4" s="1"/>
  <c r="J225" i="4"/>
  <c r="D225" i="4"/>
  <c r="C225" i="4"/>
  <c r="E225" i="4" s="1"/>
  <c r="J224" i="4"/>
  <c r="C224" i="4"/>
  <c r="E224" i="4" s="1"/>
  <c r="J223" i="4"/>
  <c r="D223" i="4"/>
  <c r="C223" i="4"/>
  <c r="E223" i="4" s="1"/>
  <c r="D222" i="4"/>
  <c r="C222" i="4"/>
  <c r="E222" i="4" s="1"/>
  <c r="J221" i="4"/>
  <c r="D221" i="4"/>
  <c r="M221" i="4" s="1"/>
  <c r="N221" i="4" s="1"/>
  <c r="C221" i="4"/>
  <c r="E221" i="4" s="1"/>
  <c r="J220" i="4"/>
  <c r="D220" i="4"/>
  <c r="M220" i="4" s="1"/>
  <c r="N220" i="4" s="1"/>
  <c r="C220" i="4"/>
  <c r="E220" i="4" s="1"/>
  <c r="E218" i="4"/>
  <c r="J216" i="4"/>
  <c r="D216" i="4"/>
  <c r="C216" i="4"/>
  <c r="E216" i="4" s="1"/>
  <c r="J215" i="4"/>
  <c r="D215" i="4"/>
  <c r="C215" i="4"/>
  <c r="E215" i="4" s="1"/>
  <c r="J214" i="4"/>
  <c r="D214" i="4"/>
  <c r="C214" i="4"/>
  <c r="E214" i="4" s="1"/>
  <c r="J213" i="4"/>
  <c r="D213" i="4"/>
  <c r="C213" i="4"/>
  <c r="E213" i="4" s="1"/>
  <c r="J212" i="4"/>
  <c r="D212" i="4"/>
  <c r="C212" i="4"/>
  <c r="E212" i="4" s="1"/>
  <c r="J210" i="4"/>
  <c r="D210" i="4"/>
  <c r="C210" i="4"/>
  <c r="E210" i="4" s="1"/>
  <c r="J209" i="4"/>
  <c r="D209" i="4"/>
  <c r="C209" i="4"/>
  <c r="E209" i="4" s="1"/>
  <c r="J208" i="4"/>
  <c r="C208" i="4"/>
  <c r="E208" i="4" s="1"/>
  <c r="J207" i="4"/>
  <c r="D207" i="4"/>
  <c r="C207" i="4"/>
  <c r="E207" i="4" s="1"/>
  <c r="J206" i="4"/>
  <c r="D206" i="4"/>
  <c r="C206" i="4"/>
  <c r="E206" i="4" s="1"/>
  <c r="J204" i="4"/>
  <c r="D204" i="4"/>
  <c r="C204" i="4"/>
  <c r="E204" i="4" s="1"/>
  <c r="J203" i="4"/>
  <c r="D203" i="4"/>
  <c r="C203" i="4"/>
  <c r="E203" i="4" s="1"/>
  <c r="J202" i="4"/>
  <c r="D202" i="4"/>
  <c r="C202" i="4"/>
  <c r="E202" i="4" s="1"/>
  <c r="J201" i="4"/>
  <c r="D201" i="4"/>
  <c r="C201" i="4"/>
  <c r="E201" i="4" s="1"/>
  <c r="J200" i="4"/>
  <c r="D200" i="4"/>
  <c r="C200" i="4"/>
  <c r="E200" i="4" s="1"/>
  <c r="J199" i="4"/>
  <c r="D199" i="4"/>
  <c r="C199" i="4"/>
  <c r="E199" i="4" s="1"/>
  <c r="J197" i="4"/>
  <c r="D197" i="4"/>
  <c r="C197" i="4"/>
  <c r="E197" i="4" s="1"/>
  <c r="J196" i="4"/>
  <c r="C196" i="4"/>
  <c r="E196" i="4" s="1"/>
  <c r="J195" i="4"/>
  <c r="D195" i="4"/>
  <c r="C195" i="4"/>
  <c r="E195" i="4" s="1"/>
  <c r="J194" i="4"/>
  <c r="D194" i="4"/>
  <c r="C194" i="4"/>
  <c r="E194" i="4" s="1"/>
  <c r="J193" i="4"/>
  <c r="D193" i="4"/>
  <c r="C193" i="4"/>
  <c r="E193" i="4" s="1"/>
  <c r="J192" i="4"/>
  <c r="D192" i="4"/>
  <c r="C192" i="4"/>
  <c r="E192" i="4" s="1"/>
  <c r="J191" i="4"/>
  <c r="D191" i="4"/>
  <c r="C191" i="4"/>
  <c r="E191" i="4" s="1"/>
  <c r="J190" i="4"/>
  <c r="D190" i="4"/>
  <c r="C190" i="4"/>
  <c r="E190" i="4" s="1"/>
  <c r="J189" i="4"/>
  <c r="D189" i="4"/>
  <c r="C189" i="4"/>
  <c r="E189" i="4" s="1"/>
  <c r="E188" i="4"/>
  <c r="D188" i="4"/>
  <c r="J187" i="4"/>
  <c r="D187" i="4"/>
  <c r="C187" i="4"/>
  <c r="E187" i="4" s="1"/>
  <c r="J186" i="4"/>
  <c r="D186" i="4"/>
  <c r="C186" i="4"/>
  <c r="E186" i="4" s="1"/>
  <c r="J185" i="4"/>
  <c r="D185" i="4"/>
  <c r="C185" i="4"/>
  <c r="E185" i="4" s="1"/>
  <c r="J183" i="4"/>
  <c r="D183" i="4"/>
  <c r="C183" i="4"/>
  <c r="E183" i="4" s="1"/>
  <c r="J182" i="4"/>
  <c r="C182" i="4"/>
  <c r="E182" i="4" s="1"/>
  <c r="J181" i="4"/>
  <c r="C181" i="4"/>
  <c r="E181" i="4" s="1"/>
  <c r="J180" i="4"/>
  <c r="D180" i="4"/>
  <c r="C180" i="4"/>
  <c r="E180" i="4" s="1"/>
  <c r="J179" i="4"/>
  <c r="D179" i="4"/>
  <c r="C179" i="4"/>
  <c r="E179" i="4" s="1"/>
  <c r="J178" i="4"/>
  <c r="D178" i="4"/>
  <c r="C178" i="4"/>
  <c r="E178" i="4" s="1"/>
  <c r="J177" i="4"/>
  <c r="D177" i="4"/>
  <c r="C177" i="4"/>
  <c r="E177" i="4" s="1"/>
  <c r="J176" i="4"/>
  <c r="D176" i="4"/>
  <c r="C176" i="4"/>
  <c r="E176" i="4" s="1"/>
  <c r="J175" i="4"/>
  <c r="D175" i="4"/>
  <c r="C175" i="4"/>
  <c r="E175" i="4" s="1"/>
  <c r="J174" i="4"/>
  <c r="D174" i="4"/>
  <c r="C174" i="4"/>
  <c r="E174" i="4" s="1"/>
  <c r="J173" i="4"/>
  <c r="D173" i="4"/>
  <c r="C173" i="4"/>
  <c r="E173" i="4" s="1"/>
  <c r="J172" i="4"/>
  <c r="D172" i="4"/>
  <c r="C172" i="4"/>
  <c r="E172" i="4" s="1"/>
  <c r="J171" i="4"/>
  <c r="D171" i="4"/>
  <c r="C171" i="4"/>
  <c r="E171" i="4" s="1"/>
  <c r="J170" i="4"/>
  <c r="D170" i="4"/>
  <c r="C170" i="4"/>
  <c r="E170" i="4" s="1"/>
  <c r="J169" i="4"/>
  <c r="D169" i="4"/>
  <c r="C169" i="4"/>
  <c r="E169" i="4" s="1"/>
  <c r="J168" i="4"/>
  <c r="C168" i="4"/>
  <c r="E168" i="4" s="1"/>
  <c r="J167" i="4"/>
  <c r="D167" i="4"/>
  <c r="C167" i="4"/>
  <c r="E167" i="4" s="1"/>
  <c r="J166" i="4"/>
  <c r="D166" i="4"/>
  <c r="C166" i="4"/>
  <c r="E166" i="4" s="1"/>
  <c r="J165" i="4"/>
  <c r="D165" i="4"/>
  <c r="C165" i="4"/>
  <c r="E165" i="4" s="1"/>
  <c r="J164" i="4"/>
  <c r="C164" i="4"/>
  <c r="E164" i="4" s="1"/>
  <c r="J163" i="4"/>
  <c r="D163" i="4"/>
  <c r="C163" i="4"/>
  <c r="E163" i="4" s="1"/>
  <c r="J162" i="4"/>
  <c r="D162" i="4"/>
  <c r="C162" i="4"/>
  <c r="E162" i="4" s="1"/>
  <c r="J161" i="4"/>
  <c r="E161" i="4"/>
  <c r="D161" i="4"/>
  <c r="J159" i="4"/>
  <c r="C159" i="4"/>
  <c r="E159" i="4" s="1"/>
  <c r="J158" i="4"/>
  <c r="C158" i="4"/>
  <c r="E158" i="4" s="1"/>
  <c r="J157" i="4"/>
  <c r="D157" i="4"/>
  <c r="C157" i="4"/>
  <c r="E157" i="4" s="1"/>
  <c r="J156" i="4"/>
  <c r="C156" i="4"/>
  <c r="E156" i="4" s="1"/>
  <c r="J155" i="4"/>
  <c r="D155" i="4"/>
  <c r="C155" i="4"/>
  <c r="E155" i="4" s="1"/>
  <c r="J154" i="4"/>
  <c r="D154" i="4"/>
  <c r="C154" i="4"/>
  <c r="E154" i="4" s="1"/>
  <c r="J153" i="4"/>
  <c r="D153" i="4"/>
  <c r="C153" i="4"/>
  <c r="E153" i="4" s="1"/>
  <c r="J152" i="4"/>
  <c r="C152" i="4"/>
  <c r="E152" i="4" s="1"/>
  <c r="J151" i="4"/>
  <c r="D151" i="4"/>
  <c r="C151" i="4"/>
  <c r="E151" i="4" s="1"/>
  <c r="J150" i="4"/>
  <c r="D150" i="4"/>
  <c r="C150" i="4"/>
  <c r="E150" i="4" s="1"/>
  <c r="J149" i="4"/>
  <c r="C149" i="4"/>
  <c r="E149" i="4" s="1"/>
  <c r="J148" i="4"/>
  <c r="D148" i="4"/>
  <c r="C148" i="4"/>
  <c r="E148" i="4" s="1"/>
  <c r="J147" i="4"/>
  <c r="C147" i="4"/>
  <c r="E147" i="4" s="1"/>
  <c r="J146" i="4"/>
  <c r="D146" i="4"/>
  <c r="M146" i="4" s="1"/>
  <c r="N146" i="4" s="1"/>
  <c r="C146" i="4"/>
  <c r="E146" i="4" s="1"/>
  <c r="D145" i="4"/>
  <c r="C145" i="4"/>
  <c r="E145" i="4" s="1"/>
  <c r="J144" i="4"/>
  <c r="D144" i="4"/>
  <c r="C144" i="4"/>
  <c r="E144" i="4" s="1"/>
  <c r="J143" i="4"/>
  <c r="C143" i="4"/>
  <c r="E143" i="4" s="1"/>
  <c r="J142" i="4"/>
  <c r="C142" i="4"/>
  <c r="E142" i="4" s="1"/>
  <c r="J141" i="4"/>
  <c r="D141" i="4"/>
  <c r="C141" i="4"/>
  <c r="E141" i="4" s="1"/>
  <c r="J140" i="4"/>
  <c r="D140" i="4"/>
  <c r="C140" i="4"/>
  <c r="E140" i="4" s="1"/>
  <c r="J139" i="4"/>
  <c r="D139" i="4"/>
  <c r="C139" i="4"/>
  <c r="E139" i="4" s="1"/>
  <c r="J137" i="4"/>
  <c r="D137" i="4"/>
  <c r="C137" i="4"/>
  <c r="E137" i="4" s="1"/>
  <c r="J136" i="4"/>
  <c r="D136" i="4"/>
  <c r="C136" i="4"/>
  <c r="E136" i="4" s="1"/>
  <c r="J135" i="4"/>
  <c r="D135" i="4"/>
  <c r="C135" i="4"/>
  <c r="E135" i="4" s="1"/>
  <c r="J134" i="4"/>
  <c r="D134" i="4"/>
  <c r="C134" i="4"/>
  <c r="E134" i="4" s="1"/>
  <c r="D133" i="4"/>
  <c r="C133" i="4"/>
  <c r="E133" i="4" s="1"/>
  <c r="J132" i="4"/>
  <c r="D132" i="4"/>
  <c r="C132" i="4"/>
  <c r="E132" i="4" s="1"/>
  <c r="J131" i="4"/>
  <c r="D131" i="4"/>
  <c r="C131" i="4"/>
  <c r="E131" i="4" s="1"/>
  <c r="J130" i="4"/>
  <c r="D130" i="4"/>
  <c r="C130" i="4"/>
  <c r="E130" i="4" s="1"/>
  <c r="D128" i="4"/>
  <c r="C128" i="4"/>
  <c r="E128" i="4" s="1"/>
  <c r="D127" i="4"/>
  <c r="C127" i="4"/>
  <c r="E127" i="4" s="1"/>
  <c r="J126" i="4"/>
  <c r="D126" i="4"/>
  <c r="C126" i="4"/>
  <c r="E126" i="4" s="1"/>
  <c r="J124" i="4"/>
  <c r="D124" i="4"/>
  <c r="C124" i="4"/>
  <c r="E124" i="4" s="1"/>
  <c r="J123" i="4"/>
  <c r="C123" i="4"/>
  <c r="E123" i="4" s="1"/>
  <c r="J122" i="4"/>
  <c r="D122" i="4"/>
  <c r="C122" i="4"/>
  <c r="E122" i="4" s="1"/>
  <c r="J121" i="4"/>
  <c r="D121" i="4"/>
  <c r="C121" i="4"/>
  <c r="E121" i="4" s="1"/>
  <c r="D120" i="4"/>
  <c r="C120" i="4"/>
  <c r="E120" i="4" s="1"/>
  <c r="J119" i="4"/>
  <c r="D119" i="4"/>
  <c r="C119" i="4"/>
  <c r="E119" i="4" s="1"/>
  <c r="J118" i="4"/>
  <c r="D118" i="4"/>
  <c r="C118" i="4"/>
  <c r="E118" i="4" s="1"/>
  <c r="J117" i="4"/>
  <c r="D117" i="4"/>
  <c r="C117" i="4"/>
  <c r="E117" i="4" s="1"/>
  <c r="J116" i="4"/>
  <c r="D116" i="4"/>
  <c r="C116" i="4"/>
  <c r="E116" i="4" s="1"/>
  <c r="J115" i="4"/>
  <c r="D115" i="4"/>
  <c r="C115" i="4"/>
  <c r="E115" i="4" s="1"/>
  <c r="J113" i="4"/>
  <c r="D113" i="4"/>
  <c r="C113" i="4"/>
  <c r="E113" i="4" s="1"/>
  <c r="J112" i="4"/>
  <c r="D112" i="4"/>
  <c r="C112" i="4"/>
  <c r="E112" i="4" s="1"/>
  <c r="J111" i="4"/>
  <c r="D111" i="4"/>
  <c r="C111" i="4"/>
  <c r="E111" i="4" s="1"/>
  <c r="J110" i="4"/>
  <c r="D110" i="4"/>
  <c r="C110" i="4"/>
  <c r="E110" i="4" s="1"/>
  <c r="J109" i="4"/>
  <c r="C109" i="4"/>
  <c r="E109" i="4" s="1"/>
  <c r="J108" i="4"/>
  <c r="D108" i="4"/>
  <c r="C108" i="4"/>
  <c r="E108" i="4" s="1"/>
  <c r="J107" i="4"/>
  <c r="D107" i="4"/>
  <c r="C107" i="4"/>
  <c r="E107" i="4" s="1"/>
  <c r="J106" i="4"/>
  <c r="D106" i="4"/>
  <c r="C106" i="4"/>
  <c r="E106" i="4" s="1"/>
  <c r="J105" i="4"/>
  <c r="D105" i="4"/>
  <c r="C105" i="4"/>
  <c r="E105" i="4" s="1"/>
  <c r="J103" i="4"/>
  <c r="D103" i="4"/>
  <c r="C103" i="4"/>
  <c r="E103" i="4" s="1"/>
  <c r="J102" i="4"/>
  <c r="D102" i="4"/>
  <c r="C102" i="4"/>
  <c r="E102" i="4" s="1"/>
  <c r="J101" i="4"/>
  <c r="D101" i="4"/>
  <c r="C101" i="4"/>
  <c r="E101" i="4" s="1"/>
  <c r="J100" i="4"/>
  <c r="D100" i="4"/>
  <c r="C100" i="4"/>
  <c r="E100" i="4" s="1"/>
  <c r="J99" i="4"/>
  <c r="D99" i="4"/>
  <c r="C99" i="4"/>
  <c r="E99" i="4" s="1"/>
  <c r="J98" i="4"/>
  <c r="D98" i="4"/>
  <c r="C98" i="4"/>
  <c r="E98" i="4" s="1"/>
  <c r="J97" i="4"/>
  <c r="D97" i="4"/>
  <c r="C97" i="4"/>
  <c r="E97" i="4" s="1"/>
  <c r="J95" i="4"/>
  <c r="D95" i="4"/>
  <c r="C95" i="4"/>
  <c r="E95" i="4" s="1"/>
  <c r="J94" i="4"/>
  <c r="D94" i="4"/>
  <c r="C94" i="4"/>
  <c r="E94" i="4" s="1"/>
  <c r="J93" i="4"/>
  <c r="D93" i="4"/>
  <c r="C93" i="4"/>
  <c r="E93" i="4" s="1"/>
  <c r="J92" i="4"/>
  <c r="C92" i="4"/>
  <c r="E92" i="4" s="1"/>
  <c r="J91" i="4"/>
  <c r="D91" i="4"/>
  <c r="C91" i="4"/>
  <c r="E91" i="4" s="1"/>
  <c r="J90" i="4"/>
  <c r="D90" i="4"/>
  <c r="C90" i="4"/>
  <c r="E90" i="4" s="1"/>
  <c r="J89" i="4"/>
  <c r="D89" i="4"/>
  <c r="C89" i="4"/>
  <c r="E89" i="4" s="1"/>
  <c r="J88" i="4"/>
  <c r="D88" i="4"/>
  <c r="C88" i="4"/>
  <c r="E88" i="4" s="1"/>
  <c r="J87" i="4"/>
  <c r="D87" i="4"/>
  <c r="C87" i="4"/>
  <c r="E87" i="4" s="1"/>
  <c r="J86" i="4"/>
  <c r="D86" i="4"/>
  <c r="C86" i="4"/>
  <c r="E86" i="4" s="1"/>
  <c r="J85" i="4"/>
  <c r="D85" i="4"/>
  <c r="C85" i="4"/>
  <c r="E85" i="4" s="1"/>
  <c r="J84" i="4"/>
  <c r="D84" i="4"/>
  <c r="C84" i="4"/>
  <c r="E84" i="4" s="1"/>
  <c r="J83" i="4"/>
  <c r="C83" i="4"/>
  <c r="E83" i="4" s="1"/>
  <c r="J82" i="4"/>
  <c r="D82" i="4"/>
  <c r="C82" i="4"/>
  <c r="E82" i="4" s="1"/>
  <c r="J81" i="4"/>
  <c r="D81" i="4"/>
  <c r="C81" i="4"/>
  <c r="E81" i="4" s="1"/>
  <c r="J80" i="4"/>
  <c r="D80" i="4"/>
  <c r="C80" i="4"/>
  <c r="E80" i="4" s="1"/>
  <c r="J79" i="4"/>
  <c r="D79" i="4"/>
  <c r="C79" i="4"/>
  <c r="E79" i="4" s="1"/>
  <c r="J78" i="4"/>
  <c r="C78" i="4"/>
  <c r="E78" i="4" s="1"/>
  <c r="J77" i="4"/>
  <c r="D77" i="4"/>
  <c r="C77" i="4"/>
  <c r="E77" i="4" s="1"/>
  <c r="J76" i="4"/>
  <c r="D76" i="4"/>
  <c r="C76" i="4"/>
  <c r="E76" i="4" s="1"/>
  <c r="J75" i="4"/>
  <c r="D75" i="4"/>
  <c r="C75" i="4"/>
  <c r="E75" i="4" s="1"/>
  <c r="J74" i="4"/>
  <c r="D74" i="4"/>
  <c r="C74" i="4"/>
  <c r="E74" i="4" s="1"/>
  <c r="J72" i="4"/>
  <c r="D72" i="4"/>
  <c r="C72" i="4"/>
  <c r="E72" i="4" s="1"/>
  <c r="J71" i="4"/>
  <c r="D71" i="4"/>
  <c r="C71" i="4"/>
  <c r="E71" i="4" s="1"/>
  <c r="J70" i="4"/>
  <c r="C70" i="4"/>
  <c r="E70" i="4" s="1"/>
  <c r="J69" i="4"/>
  <c r="C69" i="4"/>
  <c r="E69" i="4" s="1"/>
  <c r="J68" i="4"/>
  <c r="D68" i="4"/>
  <c r="C68" i="4"/>
  <c r="E68" i="4" s="1"/>
  <c r="D66" i="4"/>
  <c r="C66" i="4"/>
  <c r="E66" i="4" s="1"/>
  <c r="J65" i="4"/>
  <c r="D65" i="4"/>
  <c r="C65" i="4"/>
  <c r="E65" i="4" s="1"/>
  <c r="J64" i="4"/>
  <c r="D64" i="4"/>
  <c r="C64" i="4"/>
  <c r="E64" i="4" s="1"/>
  <c r="J63" i="4"/>
  <c r="D63" i="4"/>
  <c r="C63" i="4"/>
  <c r="E63" i="4" s="1"/>
  <c r="J62" i="4"/>
  <c r="D62" i="4"/>
  <c r="C62" i="4"/>
  <c r="E62" i="4" s="1"/>
  <c r="J61" i="4"/>
  <c r="C61" i="4"/>
  <c r="E61" i="4" s="1"/>
  <c r="J60" i="4"/>
  <c r="D60" i="4"/>
  <c r="M60" i="4" s="1"/>
  <c r="N60" i="4" s="1"/>
  <c r="C60" i="4"/>
  <c r="E60" i="4" s="1"/>
  <c r="J59" i="4"/>
  <c r="C59" i="4"/>
  <c r="E59" i="4" s="1"/>
  <c r="J58" i="4"/>
  <c r="D58" i="4"/>
  <c r="C58" i="4"/>
  <c r="E58" i="4" s="1"/>
  <c r="J57" i="4"/>
  <c r="M57" i="4"/>
  <c r="N57" i="4" s="1"/>
  <c r="C57" i="4"/>
  <c r="E57" i="4" s="1"/>
  <c r="J55" i="4"/>
  <c r="D55" i="4"/>
  <c r="C55" i="4"/>
  <c r="E55" i="4" s="1"/>
  <c r="J54" i="4"/>
  <c r="D54" i="4"/>
  <c r="C54" i="4"/>
  <c r="E54" i="4" s="1"/>
  <c r="J53" i="4"/>
  <c r="D53" i="4"/>
  <c r="C53" i="4"/>
  <c r="E53" i="4" s="1"/>
  <c r="J52" i="4"/>
  <c r="D52" i="4"/>
  <c r="C52" i="4"/>
  <c r="E52" i="4" s="1"/>
  <c r="J51" i="4"/>
  <c r="D51" i="4"/>
  <c r="C51" i="4"/>
  <c r="E51" i="4" s="1"/>
  <c r="J50" i="4"/>
  <c r="D50" i="4"/>
  <c r="C50" i="4"/>
  <c r="E50" i="4" s="1"/>
  <c r="J49" i="4"/>
  <c r="D49" i="4"/>
  <c r="C49" i="4"/>
  <c r="E49" i="4" s="1"/>
  <c r="J48" i="4"/>
  <c r="D48" i="4"/>
  <c r="C48" i="4"/>
  <c r="E48" i="4" s="1"/>
  <c r="D47" i="4"/>
  <c r="C47" i="4"/>
  <c r="E47" i="4" s="1"/>
  <c r="D46" i="4"/>
  <c r="C46" i="4"/>
  <c r="E46" i="4" s="1"/>
  <c r="J45" i="4"/>
  <c r="D45" i="4"/>
  <c r="C45" i="4"/>
  <c r="E45" i="4" s="1"/>
  <c r="J44" i="4"/>
  <c r="D44" i="4"/>
  <c r="C44" i="4"/>
  <c r="E44" i="4" s="1"/>
  <c r="J43" i="4"/>
  <c r="D43" i="4"/>
  <c r="C43" i="4"/>
  <c r="E43" i="4" s="1"/>
  <c r="J42" i="4"/>
  <c r="D42" i="4"/>
  <c r="C42" i="4"/>
  <c r="E42" i="4" s="1"/>
  <c r="J41" i="4"/>
  <c r="D41" i="4"/>
  <c r="C41" i="4"/>
  <c r="E41" i="4" s="1"/>
  <c r="J40" i="4"/>
  <c r="D40" i="4"/>
  <c r="C40" i="4"/>
  <c r="E40" i="4" s="1"/>
  <c r="J39" i="4"/>
  <c r="D39" i="4"/>
  <c r="C39" i="4"/>
  <c r="E39" i="4" s="1"/>
  <c r="J38" i="4"/>
  <c r="D38" i="4"/>
  <c r="C38" i="4"/>
  <c r="E38" i="4" s="1"/>
  <c r="J37" i="4"/>
  <c r="D37" i="4"/>
  <c r="C37" i="4"/>
  <c r="E37" i="4" s="1"/>
  <c r="D36" i="4"/>
  <c r="C36" i="4"/>
  <c r="E36" i="4" s="1"/>
  <c r="J35" i="4"/>
  <c r="D35" i="4"/>
  <c r="C35" i="4"/>
  <c r="E35" i="4" s="1"/>
  <c r="J34" i="4"/>
  <c r="D34" i="4"/>
  <c r="C34" i="4"/>
  <c r="E34" i="4" s="1"/>
  <c r="J33" i="4"/>
  <c r="D33" i="4"/>
  <c r="C33" i="4"/>
  <c r="E33" i="4" s="1"/>
  <c r="J32" i="4"/>
  <c r="D32" i="4"/>
  <c r="C32" i="4"/>
  <c r="E32" i="4" s="1"/>
  <c r="D31" i="4"/>
  <c r="C31" i="4"/>
  <c r="E31" i="4" s="1"/>
  <c r="J30" i="4"/>
  <c r="D30" i="4"/>
  <c r="C30" i="4"/>
  <c r="E30" i="4" s="1"/>
  <c r="J29" i="4"/>
  <c r="D29" i="4"/>
  <c r="C29" i="4"/>
  <c r="E29" i="4" s="1"/>
  <c r="J28" i="4"/>
  <c r="D28" i="4"/>
  <c r="C28" i="4"/>
  <c r="E28" i="4" s="1"/>
  <c r="J27" i="4"/>
  <c r="D27" i="4"/>
  <c r="C27" i="4"/>
  <c r="E27" i="4" s="1"/>
  <c r="J26" i="4"/>
  <c r="D26" i="4"/>
  <c r="C26" i="4"/>
  <c r="E26" i="4" s="1"/>
  <c r="J25" i="4"/>
  <c r="D25" i="4"/>
  <c r="C25" i="4"/>
  <c r="E25" i="4" s="1"/>
  <c r="J24" i="4"/>
  <c r="D24" i="4"/>
  <c r="C24" i="4"/>
  <c r="E24" i="4" s="1"/>
  <c r="J23" i="4"/>
  <c r="D23" i="4"/>
  <c r="C23" i="4"/>
  <c r="E23" i="4" s="1"/>
  <c r="J22" i="4"/>
  <c r="D22" i="4"/>
  <c r="C22" i="4"/>
  <c r="E22" i="4" s="1"/>
  <c r="J21" i="4"/>
  <c r="D21" i="4"/>
  <c r="C21" i="4"/>
  <c r="E21" i="4" s="1"/>
  <c r="J20" i="4"/>
  <c r="D20" i="4"/>
  <c r="C20" i="4"/>
  <c r="E20" i="4" s="1"/>
  <c r="J19" i="4"/>
  <c r="D19" i="4"/>
  <c r="C19" i="4"/>
  <c r="E19" i="4" s="1"/>
  <c r="J18" i="4"/>
  <c r="D18" i="4"/>
  <c r="C18" i="4"/>
  <c r="E18" i="4" s="1"/>
  <c r="J17" i="4"/>
  <c r="D17" i="4"/>
  <c r="C17" i="4"/>
  <c r="E17" i="4" s="1"/>
  <c r="J16" i="4"/>
  <c r="D16" i="4"/>
  <c r="C16" i="4"/>
  <c r="E16" i="4" s="1"/>
  <c r="J15" i="4"/>
  <c r="D15" i="4"/>
  <c r="C15" i="4"/>
  <c r="E15" i="4" s="1"/>
  <c r="J14" i="4"/>
  <c r="D14" i="4"/>
  <c r="C14" i="4"/>
  <c r="E14" i="4" s="1"/>
  <c r="J13" i="4"/>
  <c r="D13" i="4"/>
  <c r="C13" i="4"/>
  <c r="E13" i="4" s="1"/>
  <c r="J12" i="4"/>
  <c r="D12" i="4"/>
  <c r="C12" i="4"/>
  <c r="E12" i="4" s="1"/>
  <c r="D11" i="4"/>
  <c r="C11" i="4"/>
  <c r="E11" i="4" s="1"/>
  <c r="J10" i="4"/>
  <c r="D10" i="4"/>
  <c r="C10" i="4"/>
  <c r="E10" i="4" s="1"/>
  <c r="J9" i="4"/>
  <c r="D9" i="4"/>
  <c r="C9" i="4"/>
  <c r="E9" i="4" s="1"/>
  <c r="J8" i="4"/>
  <c r="D8" i="4"/>
  <c r="C8" i="4"/>
  <c r="E8" i="4" s="1"/>
  <c r="J7" i="4"/>
  <c r="D7" i="4"/>
  <c r="C7" i="4"/>
  <c r="E7" i="4" s="1"/>
  <c r="J6" i="4"/>
  <c r="D6" i="4"/>
  <c r="C6" i="4"/>
  <c r="E6" i="4" s="1"/>
  <c r="J5" i="4"/>
  <c r="D5" i="4"/>
  <c r="C5" i="4"/>
  <c r="E5" i="4" s="1"/>
  <c r="J4" i="4"/>
  <c r="D4" i="4"/>
  <c r="C4" i="4"/>
  <c r="E4" i="4" s="1"/>
  <c r="J3" i="4"/>
  <c r="D3" i="4"/>
  <c r="C3" i="4"/>
  <c r="E3" i="4" s="1"/>
  <c r="J2" i="4"/>
  <c r="E2" i="4"/>
  <c r="D2" i="4"/>
  <c r="K253" i="4" l="1"/>
  <c r="M61" i="4"/>
  <c r="N61" i="4" s="1"/>
  <c r="M82" i="4"/>
  <c r="N82" i="4" s="1"/>
  <c r="M164" i="4"/>
  <c r="N164" i="4" s="1"/>
  <c r="M177" i="4"/>
  <c r="N177" i="4" s="1"/>
  <c r="M124" i="4"/>
  <c r="N124" i="4" s="1"/>
  <c r="M207" i="4"/>
  <c r="N207" i="4" s="1"/>
  <c r="M213" i="4"/>
  <c r="N213" i="4" s="1"/>
  <c r="M70" i="4"/>
  <c r="N70" i="4" s="1"/>
  <c r="M91" i="4"/>
  <c r="N91" i="4" s="1"/>
  <c r="M93" i="4"/>
  <c r="N93" i="4" s="1"/>
  <c r="M108" i="4"/>
  <c r="N108" i="4" s="1"/>
  <c r="M126" i="4"/>
  <c r="N126" i="4" s="1"/>
  <c r="M131" i="4"/>
  <c r="N131" i="4" s="1"/>
  <c r="M141" i="4"/>
  <c r="M143" i="4"/>
  <c r="N143" i="4" s="1"/>
  <c r="M154" i="4"/>
  <c r="N154" i="4" s="1"/>
  <c r="M188" i="4"/>
  <c r="N188" i="4" s="1"/>
  <c r="M199" i="4"/>
  <c r="N199" i="4" s="1"/>
  <c r="M204" i="4"/>
  <c r="N204" i="4" s="1"/>
  <c r="M77" i="4"/>
  <c r="N77" i="4" s="1"/>
  <c r="M115" i="4"/>
  <c r="N115" i="4" s="1"/>
  <c r="M135" i="4"/>
  <c r="N135" i="4" s="1"/>
  <c r="M151" i="4"/>
  <c r="N151" i="4" s="1"/>
  <c r="M171" i="4"/>
  <c r="N171" i="4" s="1"/>
  <c r="M176" i="4"/>
  <c r="N176" i="4" s="1"/>
  <c r="M192" i="4"/>
  <c r="N192" i="4" s="1"/>
  <c r="M71" i="4"/>
  <c r="N71" i="4" s="1"/>
  <c r="M81" i="4"/>
  <c r="N81" i="4" s="1"/>
  <c r="M83" i="4"/>
  <c r="N83" i="4" s="1"/>
  <c r="M92" i="4"/>
  <c r="N92" i="4" s="1"/>
  <c r="M107" i="4"/>
  <c r="N107" i="4" s="1"/>
  <c r="M109" i="4"/>
  <c r="N109" i="4" s="1"/>
  <c r="M117" i="4"/>
  <c r="N117" i="4" s="1"/>
  <c r="M119" i="4"/>
  <c r="N119" i="4" s="1"/>
  <c r="M130" i="4"/>
  <c r="N130" i="4" s="1"/>
  <c r="M140" i="4"/>
  <c r="N140" i="4" s="1"/>
  <c r="M153" i="4"/>
  <c r="N153" i="4" s="1"/>
  <c r="M155" i="4"/>
  <c r="N155" i="4" s="1"/>
  <c r="M163" i="4"/>
  <c r="N163" i="4" s="1"/>
  <c r="M168" i="4"/>
  <c r="N168" i="4" s="1"/>
  <c r="M173" i="4"/>
  <c r="N173" i="4" s="1"/>
  <c r="M187" i="4"/>
  <c r="N187" i="4" s="1"/>
  <c r="M189" i="4"/>
  <c r="N189" i="4" s="1"/>
  <c r="M194" i="4"/>
  <c r="N194" i="4" s="1"/>
  <c r="M209" i="4"/>
  <c r="N209" i="4" s="1"/>
  <c r="M215" i="4"/>
  <c r="N215" i="4" s="1"/>
  <c r="M63" i="4"/>
  <c r="N63" i="4" s="1"/>
  <c r="M68" i="4"/>
  <c r="N68" i="4" s="1"/>
  <c r="M72" i="4"/>
  <c r="N72" i="4" s="1"/>
  <c r="M75" i="4"/>
  <c r="N75" i="4" s="1"/>
  <c r="M84" i="4"/>
  <c r="N84" i="4" s="1"/>
  <c r="M86" i="4"/>
  <c r="N86" i="4" s="1"/>
  <c r="M95" i="4"/>
  <c r="N95" i="4" s="1"/>
  <c r="M100" i="4"/>
  <c r="N100" i="4" s="1"/>
  <c r="M102" i="4"/>
  <c r="N102" i="4" s="1"/>
  <c r="M110" i="4"/>
  <c r="N110" i="4" s="1"/>
  <c r="M112" i="4"/>
  <c r="N112" i="4" s="1"/>
  <c r="M120" i="4"/>
  <c r="M122" i="4"/>
  <c r="N122" i="4" s="1"/>
  <c r="M145" i="4"/>
  <c r="N145" i="4" s="1"/>
  <c r="M147" i="4"/>
  <c r="N147" i="4" s="1"/>
  <c r="M149" i="4"/>
  <c r="N149" i="4" s="1"/>
  <c r="M156" i="4"/>
  <c r="N156" i="4" s="1"/>
  <c r="M158" i="4"/>
  <c r="N158" i="4" s="1"/>
  <c r="M161" i="4"/>
  <c r="N161" i="4" s="1"/>
  <c r="M174" i="4"/>
  <c r="M179" i="4"/>
  <c r="N179" i="4" s="1"/>
  <c r="M190" i="4"/>
  <c r="N190" i="4" s="1"/>
  <c r="M195" i="4"/>
  <c r="N195" i="4" s="1"/>
  <c r="M201" i="4"/>
  <c r="N201" i="4" s="1"/>
  <c r="M210" i="4"/>
  <c r="N210" i="4" s="1"/>
  <c r="M216" i="4"/>
  <c r="N216" i="4" s="1"/>
  <c r="M65" i="4"/>
  <c r="N65" i="4" s="1"/>
  <c r="M79" i="4"/>
  <c r="N79" i="4" s="1"/>
  <c r="M105" i="4"/>
  <c r="N105" i="4" s="1"/>
  <c r="M133" i="4"/>
  <c r="M137" i="4"/>
  <c r="N137" i="4" s="1"/>
  <c r="M185" i="4"/>
  <c r="N185" i="4" s="1"/>
  <c r="M62" i="4"/>
  <c r="N62" i="4" s="1"/>
  <c r="M64" i="4"/>
  <c r="N64" i="4" s="1"/>
  <c r="M74" i="4"/>
  <c r="N74" i="4" s="1"/>
  <c r="M85" i="4"/>
  <c r="N85" i="4" s="1"/>
  <c r="M94" i="4"/>
  <c r="N94" i="4" s="1"/>
  <c r="M97" i="4"/>
  <c r="N97" i="4" s="1"/>
  <c r="M101" i="4"/>
  <c r="N101" i="4" s="1"/>
  <c r="M111" i="4"/>
  <c r="N111" i="4" s="1"/>
  <c r="M132" i="4"/>
  <c r="N132" i="4" s="1"/>
  <c r="M134" i="4"/>
  <c r="N134" i="4" s="1"/>
  <c r="M148" i="4"/>
  <c r="N148" i="4" s="1"/>
  <c r="M157" i="4"/>
  <c r="N157" i="4" s="1"/>
  <c r="M165" i="4"/>
  <c r="N165" i="4" s="1"/>
  <c r="M170" i="4"/>
  <c r="N170" i="4" s="1"/>
  <c r="M178" i="4"/>
  <c r="N178" i="4" s="1"/>
  <c r="M191" i="4"/>
  <c r="N191" i="4" s="1"/>
  <c r="M200" i="4"/>
  <c r="N200" i="4" s="1"/>
  <c r="M212" i="4"/>
  <c r="N212" i="4" s="1"/>
  <c r="M88" i="4"/>
  <c r="N88" i="4" s="1"/>
  <c r="M76" i="4"/>
  <c r="N76" i="4" s="1"/>
  <c r="M78" i="4"/>
  <c r="N78" i="4" s="1"/>
  <c r="M80" i="4"/>
  <c r="N80" i="4" s="1"/>
  <c r="M87" i="4"/>
  <c r="N87" i="4" s="1"/>
  <c r="M103" i="4"/>
  <c r="N103" i="4" s="1"/>
  <c r="M106" i="4"/>
  <c r="N106" i="4" s="1"/>
  <c r="M113" i="4"/>
  <c r="N113" i="4" s="1"/>
  <c r="M116" i="4"/>
  <c r="N116" i="4" s="1"/>
  <c r="M123" i="4"/>
  <c r="N123" i="4" s="1"/>
  <c r="M136" i="4"/>
  <c r="N136" i="4" s="1"/>
  <c r="M150" i="4"/>
  <c r="N150" i="4" s="1"/>
  <c r="M152" i="4"/>
  <c r="N152" i="4" s="1"/>
  <c r="M159" i="4"/>
  <c r="N159" i="4" s="1"/>
  <c r="M162" i="4"/>
  <c r="N162" i="4" s="1"/>
  <c r="M167" i="4"/>
  <c r="N167" i="4" s="1"/>
  <c r="M175" i="4"/>
  <c r="N175" i="4" s="1"/>
  <c r="M180" i="4"/>
  <c r="N180" i="4" s="1"/>
  <c r="M186" i="4"/>
  <c r="N186" i="4" s="1"/>
  <c r="M196" i="4"/>
  <c r="N196" i="4" s="1"/>
</calcChain>
</file>

<file path=xl/sharedStrings.xml><?xml version="1.0" encoding="utf-8"?>
<sst xmlns="http://schemas.openxmlformats.org/spreadsheetml/2006/main" count="25770" uniqueCount="22895">
  <si>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</si>
  <si>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</si>
  <si>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</si>
  <si>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</si>
  <si>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</si>
  <si>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</si>
  <si>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</si>
  <si>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</si>
  <si>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</si>
  <si>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</si>
  <si>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</si>
  <si>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</si>
  <si>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</si>
  <si>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</si>
  <si>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</si>
  <si>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</si>
  <si>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</si>
  <si>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</si>
  <si>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</si>
  <si>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</si>
  <si>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</si>
  <si>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</si>
  <si>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</si>
  <si>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</si>
  <si>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</si>
  <si>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</si>
  <si>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</si>
  <si>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</si>
  <si>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</si>
  <si>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</si>
  <si>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</si>
  <si>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</si>
  <si>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</si>
  <si>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</si>
  <si>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</si>
  <si>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</si>
  <si>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</si>
  <si>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</si>
  <si>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</si>
  <si>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</si>
  <si>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</si>
  <si>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</si>
  <si>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</si>
  <si>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</si>
  <si>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</si>
  <si>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</si>
  <si>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</si>
  <si>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</si>
  <si>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</si>
  <si>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</si>
  <si>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</si>
  <si>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</si>
  <si>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</si>
  <si>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</si>
  <si>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</si>
  <si>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</si>
  <si>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</si>
  <si>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</si>
  <si>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</si>
  <si>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</si>
  <si>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</si>
  <si>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</si>
  <si>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</si>
  <si>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</si>
  <si>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</si>
  <si>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</si>
  <si>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</si>
  <si>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</si>
  <si>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</si>
  <si>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</si>
  <si>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</si>
  <si>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</si>
  <si>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</si>
  <si>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</si>
  <si>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</si>
  <si>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</si>
  <si>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</si>
  <si>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</si>
  <si>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</si>
  <si>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</si>
  <si>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</si>
  <si>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</si>
  <si>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</si>
  <si>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</si>
  <si>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</si>
  <si>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</si>
  <si>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</si>
  <si>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</si>
  <si>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</si>
  <si>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</si>
  <si>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</si>
  <si>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</si>
  <si>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</si>
  <si>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</si>
  <si>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</si>
  <si>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</si>
  <si>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</si>
  <si>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</si>
  <si>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</si>
  <si>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</si>
  <si>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</si>
  <si>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</si>
  <si>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</si>
  <si>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</si>
  <si>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</si>
  <si>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</si>
  <si>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</si>
  <si>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</si>
  <si>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</si>
  <si>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</si>
  <si>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</si>
  <si>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</si>
  <si>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</si>
  <si>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</si>
  <si>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</si>
  <si>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</si>
  <si>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</si>
  <si>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</si>
  <si>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</si>
  <si>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</si>
  <si>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</si>
  <si>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</si>
  <si>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</si>
  <si>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</si>
  <si>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</si>
  <si>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</si>
  <si>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</si>
  <si>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</si>
  <si>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</si>
  <si>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</si>
  <si>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</si>
  <si>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</si>
  <si>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</si>
  <si>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</si>
  <si>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</si>
  <si>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</si>
  <si>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</si>
  <si>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</si>
  <si>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</si>
  <si>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</si>
  <si>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</si>
  <si>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</si>
  <si>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</si>
  <si>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</si>
  <si>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</si>
  <si>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</si>
  <si>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</si>
  <si>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</si>
  <si>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</si>
  <si>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</si>
  <si>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</si>
  <si>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</si>
  <si>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</si>
  <si>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</si>
  <si>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</si>
  <si>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</si>
  <si>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</si>
  <si>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</si>
  <si>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</si>
  <si>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</si>
  <si>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</si>
  <si>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</si>
  <si>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</si>
  <si>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</si>
  <si>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</si>
  <si>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</si>
  <si>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</si>
  <si>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</si>
  <si>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</si>
  <si>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</si>
  <si>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</si>
  <si>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</si>
  <si>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</si>
  <si>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</si>
  <si>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</si>
  <si>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</si>
  <si>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</si>
  <si>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</si>
  <si>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</si>
  <si>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</si>
  <si>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</si>
  <si>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</si>
  <si>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</si>
  <si>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</si>
  <si>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</si>
  <si>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</si>
  <si>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</si>
  <si>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</si>
  <si>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</si>
  <si>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</si>
  <si>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</si>
  <si>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</si>
  <si>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</si>
  <si>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</si>
  <si>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</si>
  <si>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</si>
  <si>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</si>
  <si>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</si>
  <si>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</si>
  <si>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</si>
  <si>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</si>
  <si>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</si>
  <si>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</si>
  <si>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</si>
  <si>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</si>
  <si>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</si>
  <si>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</si>
  <si>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</si>
  <si>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</si>
  <si>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</si>
  <si>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</si>
  <si>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</si>
  <si>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</si>
  <si>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</si>
  <si>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</si>
  <si>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</si>
  <si>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</si>
  <si>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</si>
  <si>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</si>
  <si>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</si>
  <si>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</si>
  <si>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</si>
  <si>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</si>
  <si>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</si>
  <si>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</si>
  <si>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</si>
  <si>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</si>
  <si>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</si>
  <si>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</si>
  <si>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</si>
  <si>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</si>
  <si>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</si>
  <si>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</si>
  <si>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</si>
  <si>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</si>
  <si>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</si>
  <si>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</si>
  <si>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</si>
  <si>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</si>
  <si>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</si>
  <si>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</si>
  <si>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</si>
  <si>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</si>
  <si>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</si>
  <si>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</si>
  <si>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</si>
  <si>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</si>
  <si>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</si>
  <si>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</si>
  <si>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</si>
  <si>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</si>
  <si>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</si>
  <si>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</si>
  <si>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</si>
  <si>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</si>
  <si>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</si>
  <si>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</si>
  <si>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</si>
  <si>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</si>
  <si>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</si>
  <si>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</si>
  <si>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</si>
  <si>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</si>
  <si>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</si>
  <si>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</si>
  <si>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</si>
  <si>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</si>
  <si>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</si>
  <si>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</si>
  <si>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</si>
  <si>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</si>
  <si>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</si>
  <si>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</si>
  <si>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</si>
  <si>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</si>
  <si>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</si>
  <si>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</si>
  <si>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</si>
  <si>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</si>
  <si>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</si>
  <si>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</si>
  <si>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</si>
  <si>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</si>
  <si>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</si>
  <si>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</si>
  <si>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</si>
  <si>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</si>
  <si>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</si>
  <si>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</si>
  <si>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</si>
  <si>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</si>
  <si>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</si>
  <si>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</si>
  <si>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</si>
  <si>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</si>
  <si>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</si>
  <si>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</si>
  <si>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</si>
  <si>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</si>
  <si>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</si>
  <si>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</si>
  <si>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</si>
  <si>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</si>
  <si>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</si>
  <si>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</si>
  <si>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</si>
  <si>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</si>
  <si>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</si>
  <si>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</si>
  <si>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</si>
  <si>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</si>
  <si>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</si>
  <si>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</si>
  <si>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</si>
  <si>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</si>
  <si>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</si>
  <si>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</si>
  <si>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</si>
  <si>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</si>
  <si>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</si>
  <si>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</si>
  <si>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</si>
  <si>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</si>
  <si>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</si>
  <si>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</si>
  <si>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</si>
  <si>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</si>
  <si>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</si>
  <si>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</si>
  <si>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</si>
  <si>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</si>
  <si>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</si>
  <si>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</si>
  <si>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</si>
  <si>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</si>
  <si>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</si>
  <si>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</si>
  <si>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</si>
  <si>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</si>
  <si>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</si>
  <si>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</si>
  <si>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</si>
  <si>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</si>
  <si>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</si>
  <si>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</si>
  <si>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</si>
  <si>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</si>
  <si>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</si>
  <si>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</si>
  <si>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</si>
  <si>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</si>
  <si>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</si>
  <si>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</si>
  <si>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</si>
  <si>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</si>
  <si>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</si>
  <si>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</si>
  <si>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</si>
  <si>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</si>
  <si>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</si>
  <si>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</si>
  <si>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</si>
  <si>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</si>
  <si>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</si>
  <si>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</si>
  <si>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</si>
  <si>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</si>
  <si>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</si>
  <si>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</si>
  <si>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</si>
  <si>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</si>
  <si>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</si>
  <si>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</si>
  <si>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</si>
  <si>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</si>
  <si>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</si>
  <si>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</si>
  <si>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</si>
  <si>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</si>
  <si>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</si>
  <si>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</si>
  <si>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</si>
  <si>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</si>
  <si>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</si>
  <si>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</si>
  <si>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</si>
  <si>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</si>
  <si>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</si>
  <si>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</si>
  <si>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</si>
  <si>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</si>
  <si>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</si>
  <si>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</si>
  <si>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</si>
  <si>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</si>
  <si>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</si>
  <si>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</si>
  <si>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</si>
  <si>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</si>
  <si>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</si>
  <si>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</si>
  <si>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</si>
  <si>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</si>
  <si>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</si>
  <si>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</si>
  <si>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</si>
  <si>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</si>
  <si>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</si>
  <si>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</si>
  <si>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</si>
  <si>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</si>
  <si>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</si>
  <si>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</si>
  <si>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</si>
  <si>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</si>
  <si>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</si>
  <si>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</si>
  <si>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</si>
  <si>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</si>
  <si>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</si>
  <si>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</si>
  <si>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</si>
  <si>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</si>
  <si>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</si>
  <si>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</si>
  <si>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</si>
  <si>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</si>
  <si>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</si>
  <si>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</si>
  <si>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</si>
  <si>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</si>
  <si>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</si>
  <si>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</si>
  <si>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</si>
  <si>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</si>
  <si>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</si>
  <si>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</si>
  <si>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</si>
  <si>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</si>
  <si>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</si>
  <si>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</si>
  <si>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</si>
  <si>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</si>
  <si>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</si>
  <si>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</si>
  <si>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</si>
  <si>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</si>
  <si>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</si>
  <si>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</si>
  <si>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</si>
  <si>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</si>
  <si>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</si>
  <si>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</si>
  <si>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</si>
  <si>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</si>
  <si>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</si>
  <si>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</si>
  <si>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</si>
  <si>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</si>
  <si>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</si>
  <si>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</si>
  <si>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</si>
  <si>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</si>
  <si>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</si>
  <si>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</si>
  <si>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</si>
  <si>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</si>
  <si>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</si>
  <si>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</si>
  <si>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</si>
  <si>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</si>
  <si>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</si>
  <si>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</si>
  <si>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</si>
  <si>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</si>
  <si>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</si>
  <si>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</si>
  <si>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</si>
  <si>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</si>
  <si>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</si>
  <si>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</si>
  <si>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</si>
  <si>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</si>
  <si>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</si>
  <si>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</si>
  <si>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</si>
  <si>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</si>
  <si>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</si>
  <si>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</si>
  <si>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</si>
  <si>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</si>
  <si>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</si>
  <si>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</si>
  <si>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</si>
  <si>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</si>
  <si>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</si>
  <si>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</si>
  <si>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</si>
  <si>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</si>
  <si>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</si>
  <si>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</si>
  <si>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</si>
  <si>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</si>
  <si>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</si>
  <si>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</si>
  <si>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</si>
  <si>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</si>
  <si>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</si>
  <si>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</si>
  <si>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</si>
  <si>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</si>
  <si>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</si>
  <si>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</si>
  <si>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</si>
  <si>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</si>
  <si>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</si>
  <si>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</si>
  <si>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</si>
  <si>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</si>
  <si>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</si>
  <si>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</si>
  <si>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</si>
  <si>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</si>
  <si>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</si>
  <si>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</si>
  <si>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</si>
  <si>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</si>
  <si>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</si>
  <si>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</si>
  <si>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</si>
  <si>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</si>
  <si>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</si>
  <si>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</si>
  <si>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</si>
  <si>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</si>
  <si>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</si>
  <si>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</si>
  <si>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</si>
  <si>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</si>
  <si>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</si>
  <si>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</si>
  <si>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</si>
  <si>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</si>
  <si>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</si>
  <si>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</si>
  <si>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</si>
  <si>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</si>
  <si>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</si>
  <si>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</si>
  <si>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</si>
  <si>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</si>
  <si>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</si>
  <si>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</si>
  <si>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</si>
  <si>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</si>
  <si>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</si>
  <si>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</si>
  <si>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</si>
  <si>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</si>
  <si>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</si>
  <si>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</si>
  <si>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</si>
  <si>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</si>
  <si>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</si>
  <si>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</si>
  <si>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</si>
  <si>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</si>
  <si>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</si>
  <si>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</si>
  <si>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</si>
  <si>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</si>
  <si>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</si>
  <si>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</si>
  <si>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</si>
  <si>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</si>
  <si>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</si>
  <si>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</si>
  <si>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</si>
  <si>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</si>
  <si>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</si>
  <si>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</si>
  <si>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</si>
  <si>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</si>
  <si>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</si>
  <si>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</si>
  <si>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</si>
  <si>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</si>
  <si>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</si>
  <si>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</si>
  <si>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</si>
  <si>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</si>
  <si>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</si>
  <si>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</si>
  <si>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</si>
  <si>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</si>
  <si>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</si>
  <si>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</si>
  <si>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</si>
  <si>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</si>
  <si>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</si>
  <si>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</si>
  <si>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</si>
  <si>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</si>
  <si>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</si>
  <si>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</si>
  <si>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</si>
  <si>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</si>
  <si>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</si>
  <si>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</si>
  <si>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</si>
  <si>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</si>
  <si>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</si>
  <si>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</si>
  <si>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</si>
  <si>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</si>
  <si>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</si>
  <si>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</si>
  <si>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</si>
  <si>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</si>
  <si>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</si>
  <si>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</si>
  <si>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</si>
  <si>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</si>
  <si>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</si>
  <si>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</si>
  <si>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</si>
  <si>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</si>
  <si>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</si>
  <si>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</si>
  <si>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</si>
  <si>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</si>
  <si>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</si>
  <si>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</si>
  <si>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</si>
  <si>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</si>
  <si>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</si>
  <si>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</si>
  <si>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</si>
  <si>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</si>
  <si>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</si>
  <si>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</si>
  <si>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</si>
  <si>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</si>
  <si>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</si>
  <si>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</si>
  <si>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</si>
  <si>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</si>
  <si>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</si>
  <si>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</si>
  <si>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</si>
  <si>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</si>
  <si>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</si>
  <si>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</si>
  <si>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</si>
  <si>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</si>
  <si>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</si>
  <si>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</si>
  <si>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</si>
  <si>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</si>
  <si>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</si>
  <si>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</si>
  <si>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</si>
  <si>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</si>
  <si>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</si>
  <si>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</si>
  <si>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</si>
  <si>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</si>
  <si>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</si>
  <si>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</si>
  <si>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</si>
  <si>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</si>
  <si>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</si>
  <si>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</si>
  <si>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</si>
  <si>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</si>
  <si>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</si>
  <si>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</si>
  <si>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</si>
  <si>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</si>
  <si>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</si>
  <si>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</si>
  <si>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</si>
  <si>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</si>
  <si>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</si>
  <si>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</si>
  <si>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</si>
  <si>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</si>
  <si>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</si>
  <si>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</si>
  <si>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</si>
  <si>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</si>
  <si>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</si>
  <si>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</si>
  <si>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</si>
  <si>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</si>
  <si>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</si>
  <si>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</si>
  <si>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</si>
  <si>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</si>
  <si>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</si>
  <si>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</si>
  <si>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</si>
  <si>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</si>
  <si>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</si>
  <si>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</si>
  <si>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</si>
  <si>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</si>
  <si>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</si>
  <si>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</si>
  <si>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</si>
  <si>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</si>
  <si>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</si>
  <si>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</si>
  <si>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</si>
  <si>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</si>
  <si>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</si>
  <si>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</si>
  <si>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</si>
  <si>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</si>
  <si>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</si>
  <si>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</si>
  <si>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</si>
  <si>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</si>
  <si>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</si>
  <si>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</si>
  <si>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</si>
  <si>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</si>
  <si>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</si>
  <si>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</si>
  <si>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</si>
  <si>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</si>
  <si>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</si>
  <si>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</si>
  <si>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</si>
  <si>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</si>
  <si>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</si>
  <si>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</si>
  <si>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</si>
  <si>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</si>
  <si>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</si>
  <si>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</si>
  <si>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</si>
  <si>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</si>
  <si>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</si>
  <si>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</si>
  <si>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</si>
  <si>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</si>
  <si>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</si>
  <si>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</si>
  <si>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</si>
  <si>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</si>
  <si>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</si>
  <si>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</si>
  <si>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</si>
  <si>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</si>
  <si>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</si>
  <si>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</si>
  <si>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</si>
  <si>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</si>
  <si>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</si>
  <si>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</si>
  <si>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</si>
  <si>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</si>
  <si>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</si>
  <si>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</si>
  <si>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</si>
  <si>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</si>
  <si>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</si>
  <si>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</si>
  <si>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</si>
  <si>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</si>
  <si>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</si>
  <si>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</si>
  <si>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</si>
  <si>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</si>
  <si>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</si>
  <si>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</si>
  <si>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</si>
  <si>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</si>
  <si>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</si>
  <si>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</si>
  <si>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</si>
  <si>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</si>
  <si>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</si>
  <si>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</si>
  <si>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</si>
  <si>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</si>
  <si>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</si>
  <si>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</si>
  <si>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</si>
  <si>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</si>
  <si>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</si>
  <si>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</si>
  <si>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</si>
  <si>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</si>
  <si>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</si>
  <si>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</si>
  <si>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</si>
  <si>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</si>
  <si>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</si>
  <si>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</si>
  <si>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</si>
  <si>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</si>
  <si>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</si>
  <si>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</si>
  <si>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</si>
  <si>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</si>
  <si>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</si>
  <si>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</si>
  <si>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</si>
  <si>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</si>
  <si>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</si>
  <si>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</si>
  <si>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</si>
  <si>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</si>
  <si>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</si>
  <si>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</si>
  <si>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</si>
  <si>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</si>
  <si>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</si>
  <si>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</si>
  <si>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</si>
  <si>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</si>
  <si>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</si>
  <si>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</si>
  <si>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</si>
  <si>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</si>
  <si>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</si>
  <si>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</si>
  <si>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</si>
  <si>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</si>
  <si>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</si>
  <si>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</si>
  <si>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</si>
  <si>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</si>
  <si>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</si>
  <si>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</si>
  <si>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</si>
  <si>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</si>
  <si>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</si>
  <si>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</si>
  <si>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</si>
  <si>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</si>
  <si>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</si>
  <si>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</si>
  <si>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</si>
  <si>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</si>
  <si>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</si>
  <si>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</si>
  <si>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</si>
  <si>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</si>
  <si>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</si>
  <si>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</si>
  <si>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</si>
  <si>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</si>
  <si>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</si>
  <si>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</si>
  <si>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</si>
  <si>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</si>
  <si>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</si>
  <si>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</si>
  <si>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</si>
  <si>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</si>
  <si>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</si>
  <si>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</si>
  <si>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</si>
  <si>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</si>
  <si>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</si>
  <si>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</si>
  <si>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</si>
  <si>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</si>
  <si>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</si>
  <si>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</si>
  <si>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</si>
  <si>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</si>
  <si>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</si>
  <si>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</si>
  <si>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</si>
  <si>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</si>
  <si>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</si>
  <si>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</si>
  <si>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</si>
  <si>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</si>
  <si>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</si>
  <si>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</si>
  <si>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</si>
  <si>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</si>
  <si>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</si>
  <si>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</si>
  <si>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</si>
  <si>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</si>
  <si>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</si>
  <si>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</si>
  <si>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</si>
  <si>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</si>
  <si>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</si>
  <si>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</si>
  <si>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</si>
  <si>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</si>
  <si>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</si>
  <si>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</si>
  <si>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</si>
  <si>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</si>
  <si>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</si>
  <si>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</si>
  <si>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</si>
  <si>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</si>
  <si>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</si>
  <si>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</si>
  <si>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</si>
  <si>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</si>
  <si>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</si>
  <si>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</si>
  <si>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</si>
  <si>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</si>
  <si>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</si>
  <si>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</si>
  <si>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</si>
  <si>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</si>
  <si>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</si>
  <si>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</si>
  <si>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</si>
  <si>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</si>
  <si>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</si>
  <si>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</si>
  <si>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</si>
  <si>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</si>
  <si>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</si>
  <si>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</si>
  <si>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</si>
  <si>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</si>
  <si>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</si>
  <si>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</si>
  <si>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</si>
  <si>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</si>
  <si>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</si>
  <si>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</si>
  <si>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</si>
  <si>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</si>
  <si>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</si>
  <si>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</si>
  <si>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</si>
  <si>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</si>
  <si>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</si>
  <si>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</si>
  <si>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</si>
  <si>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</si>
  <si>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</si>
  <si>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</si>
  <si>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</si>
  <si>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</si>
  <si>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</si>
  <si>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</si>
  <si>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</si>
  <si>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</si>
  <si>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</si>
  <si>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</si>
  <si>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</si>
  <si>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</si>
  <si>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</si>
  <si>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</si>
  <si>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</si>
  <si>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</si>
  <si>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</si>
  <si>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</si>
  <si>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</si>
  <si>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</si>
  <si>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</si>
  <si>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</si>
  <si>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</si>
  <si>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</si>
  <si>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</si>
  <si>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</si>
  <si>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</si>
  <si>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</si>
  <si>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</si>
  <si>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</si>
  <si>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</si>
  <si>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</si>
  <si>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</si>
  <si>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</si>
  <si>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</si>
  <si>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</si>
  <si>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</si>
  <si>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</si>
  <si>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</si>
  <si>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</si>
  <si>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</si>
  <si>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</si>
  <si>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</si>
  <si>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</si>
  <si>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</si>
  <si>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</si>
  <si>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</si>
  <si>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</si>
  <si>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</si>
  <si>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</si>
  <si>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</si>
  <si>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</si>
  <si>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</si>
  <si>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</si>
  <si>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</si>
  <si>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</si>
  <si>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</si>
  <si>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</si>
  <si>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</si>
  <si>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</si>
  <si>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</si>
  <si>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</si>
  <si>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</si>
  <si>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</si>
  <si>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</si>
  <si>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</si>
  <si>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</si>
  <si>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</si>
  <si>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</si>
  <si>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</si>
  <si>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</si>
  <si>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</si>
  <si>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</si>
  <si>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</si>
  <si>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</si>
  <si>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</si>
  <si>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</si>
  <si>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</si>
  <si>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</si>
  <si>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</si>
  <si>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</si>
  <si>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</si>
  <si>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</si>
  <si>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</si>
  <si>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</si>
  <si>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</si>
  <si>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</si>
  <si>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</si>
  <si>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</si>
  <si>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</si>
  <si>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</si>
  <si>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</si>
  <si>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</si>
  <si>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</si>
  <si>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</si>
  <si>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</si>
  <si>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</si>
  <si>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</si>
  <si>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</si>
  <si>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</si>
  <si>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</si>
  <si>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</si>
  <si>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</si>
  <si>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</si>
  <si>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</si>
  <si>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</si>
  <si>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</si>
  <si>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</si>
  <si>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</si>
  <si>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</si>
  <si>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</si>
  <si>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</si>
  <si>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</si>
  <si>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</si>
  <si>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</si>
  <si>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</si>
  <si>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</si>
  <si>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</si>
  <si>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</si>
  <si>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</si>
  <si>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</si>
  <si>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</si>
  <si>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</si>
  <si>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</si>
  <si>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</si>
  <si>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</si>
  <si>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</si>
  <si>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</si>
  <si>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</si>
  <si>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</si>
  <si>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</si>
  <si>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</si>
  <si>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</si>
  <si>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</si>
  <si>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</si>
  <si>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</si>
  <si>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</si>
  <si>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</si>
  <si>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</si>
  <si>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</si>
  <si>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</si>
  <si>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</si>
  <si>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</si>
  <si>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</si>
  <si>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</si>
  <si>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</si>
  <si>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</si>
  <si>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</si>
  <si>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</si>
  <si>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</si>
  <si>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</si>
  <si>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</si>
  <si>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</si>
  <si>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</si>
  <si>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</si>
  <si>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</si>
  <si>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</si>
  <si>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</si>
  <si>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</si>
  <si>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</si>
  <si>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</si>
  <si>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</si>
  <si>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</si>
  <si>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</si>
  <si>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</si>
  <si>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</si>
  <si>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</si>
  <si>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</si>
  <si>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</si>
  <si>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</si>
  <si>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</si>
  <si>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</si>
  <si>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</si>
  <si>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</si>
  <si>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</si>
  <si>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</si>
  <si>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</si>
  <si>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</si>
  <si>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</si>
  <si>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</si>
  <si>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</si>
  <si>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</si>
  <si>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</si>
  <si>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</si>
  <si>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</si>
  <si>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</si>
  <si>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</si>
  <si>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</si>
  <si>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</si>
  <si>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</si>
  <si>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</si>
  <si>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</si>
  <si>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</si>
  <si>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</si>
  <si>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</si>
  <si>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</si>
  <si>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</si>
  <si>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</si>
  <si>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</si>
  <si>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</si>
  <si>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</si>
  <si>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</si>
  <si>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</si>
  <si>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</si>
  <si>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</si>
  <si>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</si>
  <si>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</si>
  <si>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</si>
  <si>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</si>
  <si>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</si>
  <si>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</si>
  <si>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</si>
  <si>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</si>
  <si>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</si>
  <si>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</si>
  <si>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</si>
  <si>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</si>
  <si>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</si>
  <si>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</si>
  <si>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</si>
  <si>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</si>
  <si>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</si>
  <si>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</si>
  <si>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</si>
  <si>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</si>
  <si>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</si>
  <si>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</si>
  <si>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</si>
  <si>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</si>
  <si>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</si>
  <si>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</si>
  <si>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</si>
  <si>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</si>
  <si>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</si>
  <si>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</si>
  <si>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</si>
  <si>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</si>
  <si>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</si>
  <si>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</si>
  <si>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</si>
  <si>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</si>
  <si>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</si>
  <si>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</si>
  <si>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</si>
  <si>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</si>
  <si>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</si>
  <si>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</si>
  <si>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</si>
  <si>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</si>
  <si>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</si>
  <si>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</si>
  <si>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</si>
  <si>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</si>
  <si>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</si>
  <si>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</si>
  <si>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</si>
  <si>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</si>
  <si>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</si>
  <si>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</si>
  <si>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</si>
  <si>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</si>
  <si>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</si>
  <si>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</si>
  <si>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</si>
  <si>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</si>
  <si>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</si>
  <si>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</si>
  <si>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</si>
  <si>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</si>
  <si>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</si>
  <si>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</si>
  <si>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</si>
  <si>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</si>
  <si>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</si>
  <si>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</si>
  <si>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</si>
  <si>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</si>
  <si>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</si>
  <si>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</si>
  <si>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</si>
  <si>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</si>
  <si>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</si>
  <si>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</si>
  <si>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</si>
  <si>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</si>
  <si>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</si>
  <si>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</si>
  <si>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</si>
  <si>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</si>
  <si>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</si>
  <si>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</si>
  <si>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</si>
  <si>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</si>
  <si>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</si>
  <si>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</si>
  <si>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</si>
  <si>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</si>
  <si>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</si>
  <si>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</si>
  <si>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</si>
  <si>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</si>
  <si>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</si>
  <si>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</si>
  <si>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</si>
  <si>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</si>
  <si>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</si>
  <si>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</si>
  <si>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</si>
  <si>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</si>
  <si>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</si>
  <si>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</si>
  <si>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</si>
  <si>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</si>
  <si>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</si>
  <si>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</si>
  <si>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</si>
  <si>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</si>
  <si>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</si>
  <si>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</si>
  <si>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</si>
  <si>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</si>
  <si>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</si>
  <si>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</si>
  <si>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</si>
  <si>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</si>
  <si>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</si>
  <si>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</si>
  <si>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</si>
  <si>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</si>
  <si>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</si>
  <si>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</si>
  <si>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</si>
  <si>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</si>
  <si>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</si>
  <si>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</si>
  <si>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</si>
  <si>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</si>
  <si>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</si>
  <si>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</si>
  <si>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</si>
  <si>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</si>
  <si>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</si>
  <si>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</si>
  <si>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</si>
  <si>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</si>
  <si>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</si>
  <si>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</si>
  <si>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</si>
  <si>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</si>
  <si>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</si>
  <si>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</si>
  <si>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</si>
  <si>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</si>
  <si>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</si>
  <si>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</si>
  <si>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</si>
  <si>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</si>
  <si>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</si>
  <si>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</si>
  <si>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</si>
  <si>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</si>
  <si>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</si>
  <si>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</si>
  <si>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</si>
  <si>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</si>
  <si>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</si>
  <si>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</si>
  <si>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</si>
  <si>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</si>
  <si>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</si>
  <si>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</si>
  <si>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</si>
  <si>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</si>
  <si>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</si>
  <si>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</si>
  <si>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</si>
  <si>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</si>
  <si>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</si>
  <si>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</si>
  <si>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</si>
  <si>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</si>
  <si>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</si>
  <si>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</si>
  <si>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</si>
  <si>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</si>
  <si>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</si>
  <si>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</si>
  <si>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</si>
  <si>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</si>
  <si>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</si>
  <si>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</si>
  <si>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</si>
  <si>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</si>
  <si>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</si>
  <si>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</si>
  <si>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</si>
  <si>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</si>
  <si>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</si>
  <si>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</si>
  <si>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</si>
  <si>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</si>
  <si>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</si>
  <si>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</si>
  <si>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</si>
  <si>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</si>
  <si>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</si>
  <si>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</si>
  <si>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</si>
  <si>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</si>
  <si>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</si>
  <si>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</si>
  <si>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</si>
  <si>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</si>
  <si>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</si>
  <si>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</si>
  <si>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</si>
  <si>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</si>
  <si>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</si>
  <si>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</si>
  <si>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</si>
  <si>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</si>
  <si>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</si>
  <si>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</si>
  <si>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</si>
  <si>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</si>
  <si>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</si>
  <si>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</si>
  <si>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</si>
  <si>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</si>
  <si>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</si>
  <si>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</si>
  <si>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</si>
  <si>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</si>
  <si>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</si>
  <si>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</si>
  <si>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</si>
  <si>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</si>
  <si>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</si>
  <si>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</si>
  <si>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</si>
  <si>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</si>
  <si>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</si>
  <si>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</si>
  <si>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</si>
  <si>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</si>
  <si>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</si>
  <si>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</si>
  <si>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</si>
  <si>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</si>
  <si>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</si>
  <si>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</si>
  <si>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</si>
  <si>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</si>
  <si>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</si>
  <si>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</si>
  <si>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</si>
  <si>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</si>
  <si>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</si>
  <si>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</si>
  <si>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</si>
  <si>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</si>
  <si>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</si>
  <si>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</si>
  <si>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</si>
  <si>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</si>
  <si>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</si>
  <si>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</si>
  <si>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</si>
  <si>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</si>
  <si>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</si>
  <si>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</si>
  <si>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</si>
  <si>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</si>
  <si>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</si>
  <si>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</si>
  <si>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</si>
  <si>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</si>
  <si>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</si>
  <si>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</si>
  <si>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</si>
  <si>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</si>
  <si>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</si>
  <si>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</si>
  <si>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</si>
  <si>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</si>
  <si>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</si>
  <si>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</si>
  <si>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</si>
  <si>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</si>
  <si>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</si>
  <si>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</si>
  <si>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</si>
  <si>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</si>
  <si>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</si>
  <si>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</si>
  <si>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</si>
  <si>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</si>
  <si>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</si>
  <si>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</si>
  <si>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</si>
  <si>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</si>
  <si>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</si>
  <si>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</si>
  <si>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</si>
  <si>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</si>
  <si>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</si>
  <si>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</si>
  <si>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</si>
  <si>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</si>
  <si>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</si>
  <si>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</si>
  <si>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</si>
  <si>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</si>
  <si>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</si>
  <si>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</si>
  <si>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</si>
  <si>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</si>
  <si>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</si>
  <si>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</si>
  <si>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</si>
  <si>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</si>
  <si>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</si>
  <si>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</si>
  <si>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</si>
  <si>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</si>
  <si>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</si>
  <si>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</si>
  <si>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</si>
  <si>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</si>
  <si>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</si>
  <si>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</si>
  <si>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</si>
  <si>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</si>
  <si>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</si>
  <si>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</si>
  <si>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</si>
  <si>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</si>
  <si>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</si>
  <si>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</si>
  <si>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</si>
  <si>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</si>
  <si>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</si>
  <si>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</si>
  <si>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</si>
  <si>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</si>
  <si>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</si>
  <si>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</si>
  <si>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</si>
  <si>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</si>
  <si>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</si>
  <si>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</si>
  <si>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</si>
  <si>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</si>
  <si>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</si>
  <si>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</si>
  <si>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</si>
  <si>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</si>
  <si>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</si>
  <si>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</si>
  <si>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</si>
  <si>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</si>
  <si>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</si>
  <si>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</si>
  <si>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</si>
  <si>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</si>
  <si>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</si>
  <si>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</si>
  <si>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</si>
  <si>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</si>
  <si>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</si>
  <si>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</si>
  <si>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</si>
  <si>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</si>
  <si>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</si>
  <si>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</si>
  <si>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</si>
  <si>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</si>
  <si>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</si>
  <si>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</si>
  <si>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</si>
  <si>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</si>
  <si>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</si>
  <si>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</si>
  <si>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</si>
  <si>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</si>
  <si>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</si>
  <si>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</si>
  <si>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</si>
  <si>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</si>
  <si>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</si>
  <si>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</si>
  <si>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</si>
  <si>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</si>
  <si>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</si>
  <si>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</si>
  <si>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</si>
  <si>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</si>
  <si>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</si>
  <si>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</si>
  <si>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</si>
  <si>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</si>
  <si>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</si>
  <si>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</si>
  <si>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</si>
  <si>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</si>
  <si>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</si>
  <si>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</si>
  <si>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</si>
  <si>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</si>
  <si>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</si>
  <si>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</si>
  <si>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</si>
  <si>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</si>
  <si>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</si>
  <si>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</si>
  <si>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</si>
  <si>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</si>
  <si>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</si>
  <si>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</si>
  <si>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</si>
  <si>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</si>
  <si>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</si>
  <si>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</si>
  <si>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</si>
  <si>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</si>
  <si>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</si>
  <si>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</si>
  <si>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</si>
  <si>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</si>
  <si>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</si>
  <si>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</si>
  <si>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</si>
  <si>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</si>
  <si>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</si>
  <si>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</si>
  <si>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</si>
  <si>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</si>
  <si>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</si>
  <si>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</si>
  <si>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</si>
  <si>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</si>
  <si>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</si>
  <si>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</si>
  <si>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</si>
  <si>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</si>
  <si>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</si>
  <si>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</si>
  <si>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</si>
  <si>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</si>
  <si>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</si>
  <si>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</si>
  <si>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</si>
  <si>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</si>
  <si>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</si>
  <si>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</si>
  <si>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</si>
  <si>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</si>
  <si>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</si>
  <si>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</si>
  <si>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</si>
  <si>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</si>
  <si>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</si>
  <si>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</si>
  <si>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</si>
  <si>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</si>
  <si>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</si>
  <si>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</si>
  <si>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</si>
  <si>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</si>
  <si>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</si>
  <si>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</si>
  <si>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</si>
  <si>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</si>
  <si>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</si>
  <si>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</si>
  <si>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</si>
  <si>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</si>
  <si>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</si>
  <si>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</si>
  <si>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</si>
  <si>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</si>
  <si>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</si>
  <si>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</si>
  <si>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</si>
  <si>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</si>
  <si>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</si>
  <si>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</si>
  <si>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</si>
  <si>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</si>
  <si>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</si>
  <si>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</si>
  <si>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</si>
  <si>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</si>
  <si>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</si>
  <si>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</si>
  <si>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</si>
  <si>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</si>
  <si>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</si>
  <si>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</si>
  <si>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</si>
  <si>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</si>
  <si>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</si>
  <si>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</si>
  <si>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</si>
  <si>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</si>
  <si>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</si>
  <si>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</si>
  <si>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</si>
  <si>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</si>
  <si>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</si>
  <si>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</si>
  <si>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</si>
  <si>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</si>
  <si>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</si>
  <si>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</si>
  <si>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</si>
  <si>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</si>
  <si>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</si>
  <si>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</si>
  <si>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</si>
  <si>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</si>
  <si>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</si>
  <si>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</si>
  <si>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</si>
  <si>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</si>
  <si>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</si>
  <si>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</si>
  <si>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</si>
  <si>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</si>
  <si>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</si>
  <si>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</si>
  <si>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</si>
  <si>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</si>
  <si>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</si>
  <si>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</si>
  <si>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</si>
  <si>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</si>
  <si>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</si>
  <si>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</si>
  <si>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</si>
  <si>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</si>
  <si>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</si>
  <si>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</si>
  <si>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</si>
  <si>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</si>
  <si>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</si>
  <si>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</si>
  <si>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</si>
  <si>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</si>
  <si>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</si>
  <si>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</si>
  <si>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</si>
  <si>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</si>
  <si>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</si>
  <si>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</si>
  <si>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</si>
  <si>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</si>
  <si>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</si>
  <si>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</si>
  <si>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</si>
  <si>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</si>
  <si>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</si>
  <si>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</si>
  <si>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</si>
  <si>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</si>
  <si>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</si>
  <si>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</si>
  <si>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</si>
  <si>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</si>
  <si>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</si>
  <si>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</si>
  <si>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</si>
  <si>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</si>
  <si>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</si>
  <si>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</si>
  <si>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</si>
  <si>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</si>
  <si>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</si>
  <si>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</si>
  <si>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</si>
  <si>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</si>
  <si>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</si>
  <si>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</si>
  <si>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</si>
  <si>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</si>
  <si>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</si>
  <si>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</si>
  <si>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</si>
  <si>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</si>
  <si>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</si>
  <si>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</si>
  <si>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</si>
  <si>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</si>
  <si>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</si>
  <si>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</si>
  <si>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</si>
  <si>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</si>
  <si>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</si>
  <si>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</si>
  <si>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</si>
  <si>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</si>
  <si>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</si>
  <si>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</si>
  <si>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</si>
  <si>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</si>
  <si>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</si>
  <si>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</si>
  <si>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</si>
  <si>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</si>
  <si>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</si>
  <si>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</si>
  <si>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</si>
  <si>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</si>
  <si>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</si>
  <si>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</si>
  <si>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</si>
  <si>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</si>
  <si>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</si>
  <si>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</si>
  <si>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</si>
  <si>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</si>
  <si>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</si>
  <si>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</si>
  <si>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</si>
  <si>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</si>
  <si>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</si>
  <si>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</si>
  <si>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</si>
  <si>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</si>
  <si>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</si>
  <si>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</si>
  <si>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</si>
  <si>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</si>
  <si>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</si>
  <si>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</si>
  <si>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</si>
  <si>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</si>
  <si>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</si>
  <si>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</si>
  <si>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</si>
  <si>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</si>
  <si>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</si>
  <si>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</si>
  <si>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</si>
  <si>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</si>
  <si>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</si>
  <si>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</si>
  <si>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</si>
  <si>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</si>
  <si>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</si>
  <si>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</si>
  <si>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</si>
  <si>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</si>
  <si>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</si>
  <si>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</si>
  <si>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</si>
  <si>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</si>
  <si>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</si>
  <si>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</si>
  <si>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</si>
  <si>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</si>
  <si>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</si>
  <si>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</si>
  <si>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</si>
  <si>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</si>
  <si>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</si>
  <si>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</si>
  <si>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</si>
  <si>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</si>
  <si>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</si>
  <si>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</si>
  <si>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</si>
  <si>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</si>
  <si>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</si>
  <si>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</si>
  <si>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</si>
  <si>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</si>
  <si>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</si>
  <si>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</si>
  <si>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</si>
  <si>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</si>
  <si>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</si>
  <si>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</si>
  <si>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</si>
  <si>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</si>
  <si>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</si>
  <si>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</si>
  <si>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</si>
  <si>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</si>
  <si>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</si>
  <si>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</si>
  <si>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</si>
  <si>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</si>
  <si>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</si>
  <si>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</si>
  <si>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</si>
  <si>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</si>
  <si>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</si>
  <si>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</si>
  <si>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</si>
  <si>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</si>
  <si>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</si>
  <si>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</si>
  <si>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</si>
  <si>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</si>
  <si>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</si>
  <si>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</si>
  <si>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</si>
  <si>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</si>
  <si>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</si>
  <si>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</si>
  <si>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</si>
  <si>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</si>
  <si>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</si>
  <si>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</si>
  <si>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</si>
  <si>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</si>
  <si>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</si>
  <si>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</si>
  <si>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</si>
  <si>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</si>
  <si>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</si>
  <si>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</si>
  <si>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</si>
  <si>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</si>
  <si>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</si>
  <si>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</si>
  <si>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</si>
  <si>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</si>
  <si>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</si>
  <si>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</si>
  <si>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</si>
  <si>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</si>
  <si>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</si>
  <si>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</si>
  <si>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</si>
  <si>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</si>
  <si>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</si>
  <si>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</si>
  <si>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</si>
  <si>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</si>
  <si>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</si>
  <si>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</si>
  <si>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</si>
  <si>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</si>
  <si>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</si>
  <si>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</si>
  <si>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</si>
  <si>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</si>
  <si>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</si>
  <si>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</si>
  <si>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</si>
  <si>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</si>
  <si>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</si>
  <si>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</si>
  <si>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</si>
  <si>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</si>
  <si>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</si>
  <si>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</si>
  <si>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</si>
  <si>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</si>
  <si>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</si>
  <si>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</si>
  <si>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</si>
  <si>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</si>
  <si>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</si>
  <si>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</si>
  <si>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</si>
  <si>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</si>
  <si>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</si>
  <si>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</si>
  <si>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</si>
  <si>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</si>
  <si>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</si>
  <si>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</si>
  <si>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</si>
  <si>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</si>
  <si>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</si>
  <si>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</si>
  <si>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</si>
  <si>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</si>
  <si>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</si>
  <si>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</si>
  <si>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</si>
  <si>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</si>
  <si>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</si>
  <si>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</si>
  <si>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</si>
  <si>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</si>
  <si>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</si>
  <si>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</si>
  <si>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</si>
  <si>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</si>
  <si>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</si>
  <si>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</si>
  <si>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</si>
  <si>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</si>
  <si>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</si>
  <si>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</si>
  <si>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</si>
  <si>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</si>
  <si>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</si>
  <si>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</si>
  <si>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</si>
  <si>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</si>
  <si>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</si>
  <si>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</si>
  <si>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</si>
  <si>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</si>
  <si>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</si>
  <si>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</si>
  <si>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</si>
  <si>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</si>
  <si>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</si>
  <si>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</si>
  <si>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</si>
  <si>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</si>
  <si>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</si>
  <si>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</si>
  <si>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</si>
  <si>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</si>
  <si>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</si>
  <si>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</si>
  <si>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</si>
  <si>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</si>
  <si>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</si>
  <si>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</si>
  <si>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</si>
  <si>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</si>
  <si>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</si>
  <si>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</si>
  <si>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</si>
  <si>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</si>
  <si>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</si>
  <si>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</si>
  <si>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</si>
  <si>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</si>
  <si>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</si>
  <si>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</si>
  <si>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</si>
  <si>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</si>
  <si>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</si>
  <si>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</si>
  <si>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</si>
  <si>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</si>
  <si>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</si>
  <si>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</si>
  <si>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</si>
  <si>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</si>
  <si>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</si>
  <si>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</si>
  <si>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</si>
  <si>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</si>
  <si>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</si>
  <si>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</si>
  <si>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</si>
  <si>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</si>
  <si>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</si>
  <si>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</si>
  <si>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</si>
  <si>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</si>
  <si>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</si>
  <si>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</si>
  <si>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</si>
  <si>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</si>
  <si>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</si>
  <si>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</si>
  <si>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</si>
  <si>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</si>
  <si>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</si>
  <si>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</si>
  <si>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</si>
  <si>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</si>
  <si>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</si>
  <si>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</si>
  <si>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</si>
  <si>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</si>
  <si>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</si>
  <si>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</si>
  <si>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</si>
  <si>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</si>
  <si>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</si>
  <si>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</si>
  <si>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</si>
  <si>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</si>
  <si>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</si>
  <si>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</si>
  <si>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</si>
  <si>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</si>
  <si>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</si>
  <si>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</si>
  <si>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</si>
  <si>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</si>
  <si>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</si>
  <si>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</si>
  <si>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</si>
  <si>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</si>
  <si>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</si>
  <si>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</si>
  <si>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</si>
  <si>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</si>
  <si>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</si>
  <si>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</si>
  <si>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</si>
  <si>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</si>
  <si>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</si>
  <si>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</si>
  <si>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</si>
  <si>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</si>
  <si>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</si>
  <si>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</si>
  <si>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</si>
  <si>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</si>
  <si>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</si>
  <si>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</si>
  <si>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</si>
  <si>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</si>
  <si>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</si>
  <si>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</si>
  <si>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</si>
  <si>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</si>
  <si>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</si>
  <si>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</si>
  <si>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</si>
  <si>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</si>
  <si>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</si>
  <si>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</si>
  <si>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</si>
  <si>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</si>
  <si>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</si>
  <si>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</si>
  <si>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</si>
  <si>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</si>
  <si>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</si>
  <si>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</si>
  <si>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</si>
  <si>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</si>
  <si>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</si>
  <si>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</si>
  <si>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</si>
  <si>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</si>
  <si>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</si>
  <si>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</si>
  <si>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</si>
  <si>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</si>
  <si>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</si>
  <si>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</si>
  <si>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</si>
  <si>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</si>
  <si>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</si>
  <si>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</si>
  <si>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</si>
  <si>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</si>
  <si>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</si>
  <si>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</si>
  <si>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</si>
  <si>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</si>
  <si>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</si>
  <si>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</si>
  <si>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</si>
  <si>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</si>
  <si>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</si>
  <si>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</si>
  <si>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</si>
  <si>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</si>
  <si>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</si>
  <si>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</si>
  <si>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</si>
  <si>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</si>
  <si>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</si>
  <si>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</si>
  <si>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</si>
  <si>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</si>
  <si>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</si>
  <si>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</si>
  <si>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</si>
  <si>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</si>
  <si>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</si>
  <si>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</si>
  <si>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</si>
  <si>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</si>
  <si>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</si>
  <si>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</si>
  <si>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</si>
  <si>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</si>
  <si>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</si>
  <si>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</si>
  <si>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</si>
  <si>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</si>
  <si>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</si>
  <si>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</si>
  <si>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</si>
  <si>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</si>
  <si>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</si>
  <si>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</si>
  <si>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</si>
  <si>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</si>
  <si>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</si>
  <si>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</si>
  <si>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</si>
  <si>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</si>
  <si>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</si>
  <si>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</si>
  <si>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</si>
  <si>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</si>
  <si>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</si>
  <si>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</si>
  <si>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</si>
  <si>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</si>
  <si>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</si>
  <si>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</si>
  <si>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</si>
  <si>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</si>
  <si>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</si>
  <si>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</si>
  <si>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</si>
  <si>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</si>
  <si>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</si>
  <si>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</si>
  <si>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</si>
  <si>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</si>
  <si>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</si>
  <si>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</si>
  <si>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</si>
  <si>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</si>
  <si>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</si>
  <si>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</si>
  <si>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</si>
  <si>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</si>
  <si>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</si>
  <si>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</si>
  <si>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</si>
  <si>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</si>
  <si>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</si>
  <si>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</si>
  <si>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</si>
  <si>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</si>
  <si>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</si>
  <si>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</si>
  <si>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</si>
  <si>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</si>
  <si>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</si>
  <si>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</si>
  <si>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</si>
  <si>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</si>
  <si>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</si>
  <si>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</si>
  <si>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</si>
  <si>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</si>
  <si>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</si>
  <si>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</si>
  <si>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</si>
  <si>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</si>
  <si>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</si>
  <si>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</si>
  <si>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</si>
  <si>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</si>
  <si>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</si>
  <si>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</si>
  <si>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</si>
  <si>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</si>
  <si>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</si>
  <si>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</si>
  <si>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</si>
  <si>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</si>
  <si>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</si>
  <si>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</si>
  <si>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</si>
  <si>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</si>
  <si>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</si>
  <si>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</si>
  <si>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</si>
  <si>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</si>
  <si>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</si>
  <si>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</si>
  <si>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</si>
  <si>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</si>
  <si>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</si>
  <si>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</si>
  <si>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</si>
  <si>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</si>
  <si>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</si>
  <si>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</si>
  <si>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</si>
  <si>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</si>
  <si>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</si>
  <si>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</si>
  <si>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</si>
  <si>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</si>
  <si>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</si>
  <si>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</si>
  <si>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</si>
  <si>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</si>
  <si>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</si>
  <si>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</si>
  <si>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</si>
  <si>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</si>
  <si>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</si>
  <si>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</si>
  <si>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</si>
  <si>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</si>
  <si>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</si>
  <si>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</si>
  <si>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</si>
  <si>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</si>
  <si>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</si>
  <si>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</si>
  <si>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</si>
  <si>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</si>
  <si>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</si>
  <si>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</si>
  <si>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</si>
  <si>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</si>
  <si>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</si>
  <si>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</si>
  <si>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</si>
  <si>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</si>
  <si>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</si>
  <si>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</si>
  <si>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</si>
  <si>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</si>
  <si>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</si>
  <si>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</si>
  <si>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</si>
  <si>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</si>
  <si>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</si>
  <si>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</si>
  <si>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</si>
  <si>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</si>
  <si>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</si>
  <si>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</si>
  <si>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</si>
  <si>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</si>
  <si>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</si>
  <si>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</si>
  <si>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</si>
  <si>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</si>
  <si>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</si>
  <si>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</si>
  <si>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</si>
  <si>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</si>
  <si>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</si>
  <si>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</si>
  <si>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</si>
  <si>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</si>
  <si>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</si>
  <si>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</si>
  <si>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</si>
  <si>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</si>
  <si>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</si>
  <si>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</si>
  <si>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</si>
  <si>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</si>
  <si>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</si>
  <si>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</si>
  <si>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</si>
  <si>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</si>
  <si>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</si>
  <si>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</si>
  <si>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</si>
  <si>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</si>
  <si>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</si>
  <si>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</si>
  <si>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</si>
  <si>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</si>
  <si>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</si>
  <si>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</si>
  <si>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</si>
  <si>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</si>
  <si>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</si>
  <si>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</si>
  <si>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</si>
  <si>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</si>
  <si>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</si>
  <si>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</si>
  <si>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</si>
  <si>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</si>
  <si>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</si>
  <si>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</si>
  <si>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</si>
  <si>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</si>
  <si>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</si>
  <si>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</si>
  <si>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</si>
  <si>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</si>
  <si>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</si>
  <si>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</si>
  <si>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</si>
  <si>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</si>
  <si>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</si>
  <si>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</si>
  <si>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</si>
  <si>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</si>
  <si>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</si>
  <si>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</si>
  <si>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</si>
  <si>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</si>
  <si>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</si>
  <si>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</si>
  <si>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</si>
  <si>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</si>
  <si>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</si>
  <si>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</si>
  <si>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</si>
  <si>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</si>
  <si>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</si>
  <si>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</si>
  <si>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</si>
  <si>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</si>
  <si>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</si>
  <si>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</si>
  <si>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</si>
  <si>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</si>
  <si>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</si>
  <si>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</si>
  <si>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</si>
  <si>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</si>
  <si>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</si>
  <si>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</si>
  <si>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</si>
  <si>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</si>
  <si>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</si>
  <si>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</si>
  <si>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</si>
  <si>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</si>
  <si>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</si>
  <si>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</si>
  <si>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</si>
  <si>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</si>
  <si>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</si>
  <si>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</si>
  <si>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</si>
  <si>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</si>
  <si>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</si>
  <si>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</si>
  <si>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</si>
  <si>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</si>
  <si>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</si>
  <si>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</si>
  <si>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</si>
  <si>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</si>
  <si>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</si>
  <si>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</si>
  <si>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</si>
  <si>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</si>
  <si>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</si>
  <si>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</si>
  <si>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</si>
  <si>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</si>
  <si>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</si>
  <si>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</si>
  <si>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</si>
  <si>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</si>
  <si>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</si>
  <si>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</si>
  <si>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</si>
  <si>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</si>
  <si>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</si>
  <si>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</si>
  <si>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</si>
  <si>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</si>
  <si>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</si>
  <si>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</si>
  <si>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</si>
  <si>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</si>
  <si>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</si>
  <si>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</si>
  <si>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</si>
  <si>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</si>
  <si>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</si>
  <si>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</si>
  <si>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</si>
  <si>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</si>
  <si>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</si>
  <si>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</si>
  <si>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</si>
  <si>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</si>
  <si>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</si>
  <si>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</si>
  <si>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</si>
  <si>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</si>
  <si>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</si>
  <si>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</si>
  <si>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</si>
  <si>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</si>
  <si>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</si>
  <si>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</si>
  <si>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</si>
  <si>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</si>
  <si>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</si>
  <si>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</si>
  <si>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</si>
  <si>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</si>
  <si>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</si>
  <si>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</si>
  <si>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</si>
  <si>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</si>
  <si>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</si>
  <si>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</si>
  <si>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</si>
  <si>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</si>
  <si>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</si>
  <si>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</si>
  <si>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</si>
  <si>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</si>
  <si>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</si>
  <si>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</si>
  <si>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</si>
  <si>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</si>
  <si>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</si>
  <si>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</si>
  <si>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</si>
  <si>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</si>
  <si>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</si>
  <si>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</si>
  <si>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</si>
  <si>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</si>
  <si>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</si>
  <si>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</si>
  <si>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</si>
  <si>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</si>
  <si>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</si>
  <si>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</si>
  <si>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</si>
  <si>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</si>
  <si>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</si>
  <si>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</si>
  <si>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</si>
  <si>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</si>
  <si>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</si>
  <si>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</si>
  <si>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</si>
  <si>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</si>
  <si>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</si>
  <si>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</si>
  <si>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</si>
  <si>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</si>
  <si>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</si>
  <si>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</si>
  <si>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</si>
  <si>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</si>
  <si>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</si>
  <si>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</si>
  <si>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</si>
  <si>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</si>
  <si>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</si>
  <si>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</si>
  <si>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</si>
  <si>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</si>
  <si>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</si>
  <si>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</si>
  <si>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</si>
  <si>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</si>
  <si>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</si>
  <si>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</si>
  <si>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</si>
  <si>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</si>
  <si>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</si>
  <si>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</si>
  <si>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</si>
  <si>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</si>
  <si>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</si>
  <si>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</si>
  <si>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</si>
  <si>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</si>
  <si>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</si>
  <si>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</si>
  <si>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</si>
  <si>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</si>
  <si>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</si>
  <si>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</si>
  <si>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</si>
  <si>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</si>
  <si>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</si>
  <si>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</si>
  <si>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</si>
  <si>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</si>
  <si>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</si>
  <si>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</si>
  <si>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</si>
  <si>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</si>
  <si>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</si>
  <si>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</si>
  <si>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</si>
  <si>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</si>
  <si>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</si>
  <si>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</si>
  <si>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</si>
  <si>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</si>
  <si>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</si>
  <si>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</si>
  <si>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</si>
  <si>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</si>
  <si>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</si>
  <si>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</si>
  <si>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</si>
  <si>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</si>
  <si>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</si>
  <si>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</si>
  <si>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</si>
  <si>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</si>
  <si>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</si>
  <si>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</si>
  <si>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</si>
  <si>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</si>
  <si>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</si>
  <si>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</si>
  <si>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</si>
  <si>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</si>
  <si>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</si>
  <si>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</si>
  <si>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</si>
  <si>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</si>
  <si>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</si>
  <si>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</si>
  <si>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</si>
  <si>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</si>
  <si>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</si>
  <si>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</si>
  <si>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</si>
  <si>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</si>
  <si>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</si>
  <si>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</si>
  <si>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</si>
  <si>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</si>
  <si>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</si>
  <si>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</si>
  <si>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</si>
  <si>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</si>
  <si>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</si>
  <si>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</si>
  <si>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</si>
  <si>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</si>
  <si>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</si>
  <si>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</si>
  <si>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</si>
  <si>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</si>
  <si>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</si>
  <si>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</si>
  <si>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</si>
  <si>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</si>
  <si>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</si>
  <si>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</si>
  <si>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</si>
  <si>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</si>
  <si>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</si>
  <si>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</si>
  <si>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</si>
  <si>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</si>
  <si>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</si>
  <si>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</si>
  <si>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</si>
  <si>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</si>
  <si>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</si>
  <si>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</si>
  <si>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</si>
  <si>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</si>
  <si>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</si>
  <si>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</si>
  <si>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</si>
  <si>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</si>
  <si>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</si>
  <si>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</si>
  <si>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</si>
  <si>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</si>
  <si>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</si>
  <si>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</si>
  <si>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</si>
  <si>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</si>
  <si>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</si>
  <si>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</si>
  <si>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</si>
  <si>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</si>
  <si>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</si>
  <si>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</si>
  <si>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</si>
  <si>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</si>
  <si>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</si>
  <si>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</si>
  <si>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</si>
  <si>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</si>
  <si>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</si>
  <si>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</si>
  <si>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</si>
  <si>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</si>
  <si>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</si>
  <si>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</si>
  <si>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</si>
  <si>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</si>
  <si>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</si>
  <si>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</si>
  <si>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</si>
  <si>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</si>
  <si>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</si>
  <si>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</si>
  <si>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</si>
  <si>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</si>
  <si>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</si>
  <si>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</si>
  <si>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</si>
  <si>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</si>
  <si>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</si>
  <si>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</si>
  <si>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</si>
  <si>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</si>
  <si>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</si>
  <si>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</si>
  <si>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</si>
  <si>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</si>
  <si>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</si>
  <si>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</si>
  <si>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</si>
  <si>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</si>
  <si>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</si>
  <si>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</si>
  <si>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</si>
  <si>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</si>
  <si>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</si>
  <si>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</si>
  <si>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</si>
  <si>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</si>
  <si>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</si>
  <si>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</si>
  <si>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</si>
  <si>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</si>
  <si>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</si>
  <si>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</si>
  <si>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</si>
  <si>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</si>
  <si>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</si>
  <si>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</si>
  <si>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</si>
  <si>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</si>
  <si>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</si>
  <si>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</si>
  <si>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</si>
  <si>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</si>
  <si>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</si>
  <si>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</si>
  <si>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</si>
  <si>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</si>
  <si>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</si>
  <si>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</si>
  <si>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</si>
  <si>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</si>
  <si>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</si>
  <si>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</si>
  <si>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</si>
  <si>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</si>
  <si>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</si>
  <si>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</si>
  <si>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</si>
  <si>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</si>
  <si>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</si>
  <si>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</si>
  <si>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</si>
  <si>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</si>
  <si>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</si>
  <si>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</si>
  <si>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</si>
  <si>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</si>
  <si>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</si>
  <si>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</si>
  <si>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</si>
  <si>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</si>
  <si>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</si>
  <si>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</si>
  <si>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</si>
  <si>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</si>
  <si>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</si>
  <si>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</si>
  <si>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</si>
  <si>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</si>
  <si>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</si>
  <si>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</si>
  <si>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</si>
  <si>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</si>
  <si>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</si>
  <si>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</si>
  <si>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</si>
  <si>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</si>
  <si>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</si>
  <si>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</si>
  <si>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</si>
  <si>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</si>
  <si>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</si>
  <si>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</si>
  <si>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</si>
  <si>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</si>
  <si>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</si>
  <si>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</si>
  <si>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</si>
  <si>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</si>
  <si>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</si>
  <si>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</si>
  <si>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</si>
  <si>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</si>
  <si>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</si>
  <si>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</si>
  <si>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</si>
  <si>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</si>
  <si>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</si>
  <si>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</si>
  <si>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</si>
  <si>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</si>
  <si>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</si>
  <si>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</si>
  <si>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</si>
  <si>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</si>
  <si>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</si>
  <si>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</si>
  <si>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</si>
  <si>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</si>
  <si>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</si>
  <si>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</si>
  <si>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</si>
  <si>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</si>
  <si>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</si>
  <si>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</si>
  <si>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</si>
  <si>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</si>
  <si>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</si>
  <si>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</si>
  <si>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</si>
  <si>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</si>
  <si>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</si>
  <si>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</si>
  <si>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</si>
  <si>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</si>
  <si>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</si>
  <si>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</si>
  <si>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</si>
  <si>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</si>
  <si>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</si>
  <si>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</si>
  <si>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</si>
  <si>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</si>
  <si>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</si>
  <si>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</si>
  <si>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</si>
  <si>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</si>
  <si>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</si>
  <si>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</si>
  <si>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</si>
  <si>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</si>
  <si>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</si>
  <si>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</si>
  <si>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</si>
  <si>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</si>
  <si>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</si>
  <si>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</si>
  <si>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</si>
  <si>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</si>
  <si>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</si>
  <si>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</si>
  <si>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</si>
  <si>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</si>
  <si>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</si>
  <si>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</si>
  <si>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</si>
  <si>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</si>
  <si>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</si>
  <si>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</si>
  <si>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</si>
  <si>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</si>
  <si>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</si>
  <si>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</si>
  <si>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</si>
  <si>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</si>
  <si>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</si>
  <si>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</si>
  <si>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</si>
  <si>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</si>
  <si>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</si>
  <si>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</si>
  <si>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</si>
  <si>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</si>
  <si>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</si>
  <si>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</si>
  <si>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</si>
  <si>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</si>
  <si>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</si>
  <si>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</si>
  <si>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</si>
  <si>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</si>
  <si>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</si>
  <si>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</si>
  <si>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</si>
  <si>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</si>
  <si>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</si>
  <si>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</si>
  <si>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</si>
  <si>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</si>
  <si>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</si>
  <si>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</si>
  <si>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</si>
  <si>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</si>
  <si>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</si>
  <si>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</si>
  <si>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</si>
  <si>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</si>
  <si>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</si>
  <si>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</si>
  <si>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</si>
  <si>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</si>
  <si>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</si>
  <si>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</si>
  <si>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</si>
  <si>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</si>
  <si>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</si>
  <si>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</si>
  <si>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</si>
  <si>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</si>
  <si>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</si>
  <si>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</si>
  <si>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</si>
  <si>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</si>
  <si>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</si>
  <si>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</si>
  <si>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</si>
  <si>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</si>
  <si>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</si>
  <si>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</si>
  <si>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</si>
  <si>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</si>
  <si>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</si>
  <si>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</si>
  <si>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</si>
  <si>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</si>
  <si>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</si>
  <si>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</si>
  <si>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</si>
  <si>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</si>
  <si>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</si>
  <si>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</si>
  <si>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</si>
  <si>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</si>
  <si>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</si>
  <si>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</si>
  <si>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</si>
  <si>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</si>
  <si>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</si>
  <si>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</si>
  <si>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</si>
  <si>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</si>
  <si>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</si>
  <si>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</si>
  <si>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</si>
  <si>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</si>
  <si>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</si>
  <si>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</si>
  <si>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</si>
  <si>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</si>
  <si>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</si>
  <si>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</si>
  <si>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</si>
  <si>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</si>
  <si>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</si>
  <si>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</si>
  <si>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</si>
  <si>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</si>
  <si>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</si>
  <si>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</si>
  <si>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</si>
  <si>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</si>
  <si>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</si>
  <si>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</si>
  <si>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</si>
  <si>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</si>
  <si>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</si>
  <si>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</si>
  <si>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</si>
  <si>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</si>
  <si>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</si>
  <si>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</si>
  <si>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</si>
  <si>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</si>
  <si>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</si>
  <si>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</si>
  <si>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</si>
  <si>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</si>
  <si>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</si>
  <si>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</si>
  <si>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</si>
  <si>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</si>
  <si>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</si>
  <si>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</si>
  <si>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</si>
  <si>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</si>
  <si>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</si>
  <si>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</si>
  <si>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</si>
  <si>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</si>
  <si>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</si>
  <si>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</si>
  <si>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</si>
  <si>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</si>
  <si>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</si>
  <si>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</si>
  <si>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</si>
  <si>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</si>
  <si>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</si>
  <si>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</si>
  <si>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</si>
  <si>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</si>
  <si>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</si>
  <si>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</si>
  <si>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</si>
  <si>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</si>
  <si>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</si>
  <si>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</si>
  <si>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</si>
  <si>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</si>
  <si>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</si>
  <si>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</si>
  <si>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</si>
  <si>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</si>
  <si>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</si>
  <si>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</si>
  <si>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</si>
  <si>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</si>
  <si>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</si>
  <si>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</si>
  <si>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</si>
  <si>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</si>
  <si>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</si>
  <si>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</si>
  <si>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</si>
  <si>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</si>
  <si>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</si>
  <si>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</si>
  <si>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</si>
  <si>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</si>
  <si>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</si>
  <si>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</si>
  <si>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</si>
  <si>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</si>
  <si>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</si>
  <si>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</si>
  <si>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</si>
  <si>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</si>
  <si>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</si>
  <si>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</si>
  <si>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</si>
  <si>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</si>
  <si>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</si>
  <si>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</si>
  <si>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</si>
  <si>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</si>
  <si>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</si>
  <si>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</si>
  <si>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</si>
  <si>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</si>
  <si>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</si>
  <si>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</si>
  <si>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</si>
  <si>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</si>
  <si>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</si>
  <si>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</si>
  <si>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</si>
  <si>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</si>
  <si>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</si>
  <si>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</si>
  <si>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</si>
  <si>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</si>
  <si>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</si>
  <si>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</si>
  <si>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</si>
  <si>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</si>
  <si>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</si>
  <si>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</si>
  <si>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</si>
  <si>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</si>
  <si>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</si>
  <si>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</si>
  <si>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</si>
  <si>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</si>
  <si>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</si>
  <si>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</si>
  <si>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</si>
  <si>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</si>
  <si>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</si>
  <si>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</si>
  <si>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</si>
  <si>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</si>
  <si>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</si>
  <si>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</si>
  <si>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</si>
  <si>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</si>
  <si>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</si>
  <si>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</si>
  <si>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</si>
  <si>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</si>
  <si>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</si>
  <si>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</si>
  <si>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</si>
  <si>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</si>
  <si>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</si>
  <si>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</si>
  <si>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</si>
  <si>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</si>
  <si>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</si>
  <si>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</si>
  <si>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</si>
  <si>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</si>
  <si>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</si>
  <si>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</si>
  <si>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</si>
  <si>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</si>
  <si>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</si>
  <si>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</si>
  <si>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</si>
  <si>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</si>
  <si>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</si>
  <si>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</si>
  <si>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</si>
  <si>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</si>
  <si>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</si>
  <si>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</si>
  <si>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</si>
  <si>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</si>
  <si>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</si>
  <si>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</si>
  <si>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</si>
  <si>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</si>
  <si>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</si>
  <si>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</si>
  <si>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</si>
  <si>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</si>
  <si>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</si>
  <si>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</si>
  <si>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</si>
  <si>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</si>
  <si>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</si>
  <si>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</si>
  <si>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</si>
  <si>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</si>
  <si>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</si>
  <si>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</si>
  <si>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</si>
  <si>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</si>
  <si>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</si>
  <si>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</si>
  <si>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</si>
  <si>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</si>
  <si>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</si>
  <si>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</si>
  <si>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</si>
  <si>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</si>
  <si>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</si>
  <si>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</si>
  <si>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</si>
  <si>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</si>
  <si>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</si>
  <si>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</si>
  <si>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</si>
  <si>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</si>
  <si>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</si>
  <si>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</si>
  <si>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</si>
  <si>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</si>
  <si>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</si>
  <si>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</si>
  <si>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</si>
  <si>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</si>
  <si>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</si>
  <si>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</si>
  <si>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</si>
  <si>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</si>
  <si>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</si>
  <si>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</si>
  <si>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</si>
  <si>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</si>
  <si>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</si>
  <si>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</si>
  <si>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</si>
  <si>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</si>
  <si>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</si>
  <si>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</si>
  <si>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</si>
  <si>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</si>
  <si>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</si>
  <si>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</si>
  <si>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</si>
  <si>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</si>
  <si>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</si>
  <si>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</si>
  <si>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</si>
  <si>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</si>
  <si>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</si>
  <si>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</si>
  <si>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</si>
  <si>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</si>
  <si>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</si>
  <si>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</si>
  <si>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</si>
  <si>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</si>
  <si>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</si>
  <si>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</si>
  <si>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</si>
  <si>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</si>
  <si>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</si>
  <si>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</si>
  <si>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</si>
  <si>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</si>
  <si>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</si>
  <si>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</si>
  <si>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</si>
  <si>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</si>
  <si>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</si>
  <si>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</si>
  <si>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</si>
  <si>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</si>
  <si>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</si>
  <si>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</si>
  <si>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</si>
  <si>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</si>
  <si>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</si>
  <si>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</si>
  <si>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</si>
  <si>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</si>
  <si>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</si>
  <si>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</si>
  <si>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</si>
  <si>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</si>
  <si>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</si>
  <si>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</si>
  <si>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</si>
  <si>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</si>
  <si>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</si>
  <si>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</si>
  <si>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</si>
  <si>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</si>
  <si>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</si>
  <si>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</si>
  <si>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</si>
  <si>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</si>
  <si>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</si>
  <si>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</si>
  <si>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</si>
  <si>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</si>
  <si>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</si>
  <si>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</si>
  <si>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</si>
  <si>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</si>
  <si>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</si>
  <si>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</si>
  <si>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</si>
  <si>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</si>
  <si>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</si>
  <si>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</si>
  <si>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</si>
  <si>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</si>
  <si>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</si>
  <si>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</si>
  <si>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</si>
  <si>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</si>
  <si>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</si>
  <si>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</si>
  <si>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</si>
  <si>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</si>
  <si>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</si>
  <si>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</si>
  <si>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</si>
  <si>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</si>
  <si>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</si>
  <si>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</si>
  <si>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</si>
  <si>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</si>
  <si>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</si>
  <si>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</si>
  <si>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</si>
  <si>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</si>
  <si>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</si>
  <si>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</si>
  <si>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</si>
  <si>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</si>
  <si>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</si>
  <si>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</si>
  <si>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</si>
  <si>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</si>
  <si>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</si>
  <si>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</si>
  <si>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</si>
  <si>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</si>
  <si>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</si>
  <si>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</si>
  <si>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</si>
  <si>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</si>
  <si>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</si>
  <si>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</si>
  <si>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</si>
  <si>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</si>
  <si>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</si>
  <si>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</si>
  <si>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</si>
  <si>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</si>
  <si>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</si>
  <si>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</si>
  <si>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</si>
  <si>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</si>
  <si>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</si>
  <si>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</si>
  <si>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</si>
  <si>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</si>
  <si>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</si>
  <si>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</si>
  <si>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</si>
  <si>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</si>
  <si>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</si>
  <si>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</si>
  <si>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</si>
  <si>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</si>
  <si>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</si>
  <si>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</si>
  <si>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</si>
  <si>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</si>
  <si>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</si>
  <si>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</si>
  <si>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</si>
  <si>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</si>
  <si>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</si>
  <si>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</si>
  <si>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</si>
  <si>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</si>
  <si>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</si>
  <si>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</si>
  <si>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</si>
  <si>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</si>
  <si>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</si>
  <si>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</si>
  <si>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</si>
  <si>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</si>
  <si>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</si>
  <si>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</si>
  <si>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</si>
  <si>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</si>
  <si>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</si>
  <si>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</si>
  <si>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</si>
  <si>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</si>
  <si>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</si>
  <si>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</si>
  <si>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</si>
  <si>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</si>
  <si>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</si>
  <si>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</si>
  <si>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</si>
  <si>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</si>
  <si>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</si>
  <si>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</si>
  <si>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</si>
  <si>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</si>
  <si>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</si>
  <si>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</si>
  <si>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</si>
  <si>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</si>
  <si>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</si>
  <si>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</si>
  <si>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</si>
  <si>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</si>
  <si>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</si>
  <si>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</si>
  <si>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</si>
  <si>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</si>
  <si>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</si>
  <si>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</si>
  <si>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</si>
  <si>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</si>
  <si>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</si>
  <si>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</si>
  <si>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</si>
  <si>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</si>
  <si>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</si>
  <si>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</si>
  <si>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</si>
  <si>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</si>
  <si>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</si>
  <si>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</si>
  <si>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</si>
  <si>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</si>
  <si>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</si>
  <si>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</si>
  <si>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</si>
  <si>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</si>
  <si>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</si>
  <si>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</si>
  <si>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</si>
  <si>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</si>
  <si>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</si>
  <si>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</si>
  <si>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</si>
  <si>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</si>
  <si>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</si>
  <si>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</si>
  <si>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</si>
  <si>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</si>
  <si>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</si>
  <si>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</si>
  <si>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</si>
  <si>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</si>
  <si>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</si>
  <si>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</si>
  <si>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</si>
  <si>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</si>
  <si>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</si>
  <si>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</si>
  <si>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</si>
  <si>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</si>
  <si>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</si>
  <si>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</si>
  <si>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</si>
  <si>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</si>
  <si>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</si>
  <si>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</si>
  <si>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</si>
  <si>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</si>
  <si>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</si>
  <si>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</si>
  <si>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</si>
  <si>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</si>
  <si>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</si>
  <si>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</si>
  <si>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</si>
  <si>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</si>
  <si>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</si>
  <si>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</si>
  <si>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</si>
  <si>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</si>
  <si>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</si>
  <si>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</si>
  <si>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</si>
  <si>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</si>
  <si>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</si>
  <si>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</si>
  <si>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</si>
  <si>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</si>
  <si>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</si>
  <si>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</si>
  <si>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</si>
  <si>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</si>
  <si>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</si>
  <si>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</si>
  <si>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</si>
  <si>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</si>
  <si>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</si>
  <si>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</si>
  <si>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</si>
  <si>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</si>
  <si>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</si>
  <si>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</si>
  <si>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</si>
  <si>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</si>
  <si>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</si>
  <si>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</si>
  <si>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</si>
  <si>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</si>
  <si>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</si>
  <si>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</si>
  <si>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</si>
  <si>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</si>
  <si>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</si>
  <si>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</si>
  <si>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</si>
  <si>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</si>
  <si>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</si>
  <si>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</si>
  <si>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</si>
  <si>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</si>
  <si>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</si>
  <si>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</si>
  <si>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</si>
  <si>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</si>
  <si>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</si>
  <si>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</si>
  <si>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</si>
  <si>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</si>
  <si>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</si>
  <si>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</si>
  <si>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</si>
  <si>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</si>
  <si>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</si>
  <si>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</si>
  <si>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</si>
  <si>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</si>
  <si>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</si>
  <si>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</si>
  <si>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</si>
  <si>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</si>
  <si>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</si>
  <si>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</si>
  <si>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</si>
  <si>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</si>
  <si>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</si>
  <si>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</si>
  <si>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</si>
  <si>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</si>
  <si>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</si>
  <si>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</si>
  <si>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</si>
  <si>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</si>
  <si>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</si>
  <si>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</si>
  <si>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</si>
  <si>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</si>
  <si>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</si>
  <si>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</si>
  <si>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</si>
  <si>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</si>
  <si>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</si>
  <si>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</si>
  <si>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</si>
  <si>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</si>
  <si>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</si>
  <si>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</si>
  <si>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</si>
  <si>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</si>
  <si>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</si>
  <si>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</si>
  <si>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</si>
  <si>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</si>
  <si>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</si>
  <si>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</si>
  <si>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</si>
  <si>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</si>
  <si>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</si>
  <si>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</si>
  <si>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</si>
  <si>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</si>
  <si>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</si>
  <si>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</si>
  <si>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</si>
  <si>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</si>
  <si>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</si>
  <si>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</si>
  <si>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</si>
  <si>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</si>
  <si>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</si>
  <si>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</si>
  <si>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</si>
  <si>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</si>
  <si>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</si>
  <si>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</si>
  <si>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</si>
  <si>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</si>
  <si>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</si>
  <si>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</si>
  <si>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</si>
  <si>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</si>
  <si>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</si>
  <si>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</si>
  <si>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</si>
  <si>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</si>
  <si>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</si>
  <si>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</si>
  <si>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</si>
  <si>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</si>
  <si>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</si>
  <si>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</si>
  <si>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</si>
  <si>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</si>
  <si>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</si>
  <si>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</si>
  <si>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</si>
  <si>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</si>
  <si>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</si>
  <si>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</si>
  <si>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</si>
  <si>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</si>
  <si>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</si>
  <si>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</si>
  <si>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</si>
  <si>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</si>
  <si>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</si>
  <si>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</si>
  <si>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</si>
  <si>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</si>
  <si>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</si>
  <si>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</si>
  <si>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</si>
  <si>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</si>
  <si>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</si>
  <si>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</si>
  <si>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</si>
  <si>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</si>
  <si>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</si>
  <si>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</si>
  <si>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</si>
  <si>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</si>
  <si>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</si>
  <si>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</si>
  <si>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</si>
  <si>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</si>
  <si>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</si>
  <si>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</si>
  <si>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</si>
  <si>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</si>
  <si>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</si>
  <si>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</si>
  <si>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</si>
  <si>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</si>
  <si>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</si>
  <si>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</si>
  <si>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</si>
  <si>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</si>
  <si>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</si>
  <si>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</si>
  <si>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</si>
  <si>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</si>
  <si>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</si>
  <si>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</si>
  <si>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</si>
  <si>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</si>
  <si>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</si>
  <si>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</si>
  <si>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</si>
  <si>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</si>
  <si>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</si>
  <si>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</si>
  <si>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</si>
  <si>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</si>
  <si>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</si>
  <si>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</si>
  <si>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</si>
  <si>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</si>
  <si>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</si>
  <si>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</si>
  <si>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</si>
  <si>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</si>
  <si>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</si>
  <si>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</si>
  <si>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</si>
  <si>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</si>
  <si>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</si>
  <si>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</si>
  <si>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</si>
  <si>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</si>
  <si>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</si>
  <si>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</si>
  <si>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</si>
  <si>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</si>
  <si>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</si>
  <si>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</si>
  <si>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</si>
  <si>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</si>
  <si>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</si>
  <si>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</si>
  <si>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</si>
  <si>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</si>
  <si>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</si>
  <si>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</si>
  <si>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</si>
  <si>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</si>
  <si>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</si>
  <si>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</si>
  <si>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</si>
  <si>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</si>
  <si>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</si>
  <si>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</si>
  <si>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</si>
  <si>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</si>
  <si>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</si>
  <si>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</si>
  <si>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</si>
  <si>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</si>
  <si>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</si>
  <si>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</si>
  <si>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</si>
  <si>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</si>
  <si>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</si>
  <si>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</si>
  <si>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</si>
  <si>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</si>
  <si>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</si>
  <si>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</si>
  <si>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</si>
  <si>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</si>
  <si>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</si>
  <si>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</si>
  <si>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</si>
  <si>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</si>
  <si>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</si>
  <si>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</si>
  <si>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</si>
  <si>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</si>
  <si>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</si>
  <si>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</si>
  <si>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</si>
  <si>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</si>
  <si>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</si>
  <si>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</si>
  <si>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</si>
  <si>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</si>
  <si>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</si>
  <si>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</si>
  <si>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</si>
  <si>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</si>
  <si>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</si>
  <si>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</si>
  <si>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</si>
  <si>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</si>
  <si>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</si>
  <si>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</si>
  <si>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</si>
  <si>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</si>
  <si>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</si>
  <si>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</si>
  <si>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</si>
  <si>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</si>
  <si>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</si>
  <si>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</si>
  <si>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</si>
  <si>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</si>
  <si>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</si>
  <si>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</si>
  <si>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</si>
  <si>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</si>
  <si>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</si>
  <si>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</si>
  <si>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</si>
  <si>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</si>
  <si>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</si>
  <si>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</si>
  <si>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</si>
  <si>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</si>
  <si>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</si>
  <si>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</si>
  <si>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</si>
  <si>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</si>
  <si>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</si>
  <si>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</si>
  <si>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</si>
  <si>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</si>
  <si>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</si>
  <si>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</si>
  <si>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</si>
  <si>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</si>
  <si>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</si>
  <si>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</si>
  <si>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</si>
  <si>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</si>
  <si>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</si>
  <si>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</si>
  <si>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</si>
  <si>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</si>
  <si>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</si>
  <si>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</si>
  <si>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</si>
  <si>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</si>
  <si>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</si>
  <si>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</si>
  <si>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</si>
  <si>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</si>
  <si>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</si>
  <si>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</si>
  <si>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</si>
  <si>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</si>
  <si>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</si>
  <si>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</si>
  <si>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</si>
  <si>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</si>
  <si>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</si>
  <si>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</si>
  <si>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</si>
  <si>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</si>
  <si>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</si>
  <si>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</si>
  <si>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</si>
  <si>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</si>
  <si>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</si>
  <si>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</si>
  <si>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</si>
  <si>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</si>
  <si>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</si>
  <si>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</si>
  <si>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</si>
  <si>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</si>
  <si>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</si>
  <si>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</si>
  <si>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</si>
  <si>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</si>
  <si>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</si>
  <si>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</si>
  <si>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</si>
  <si>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</si>
  <si>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</si>
  <si>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</si>
  <si>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</si>
  <si>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</si>
  <si>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</si>
  <si>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</si>
  <si>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</si>
  <si>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</si>
  <si>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</si>
  <si>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</si>
  <si>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</si>
  <si>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</si>
  <si>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</si>
  <si>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</si>
  <si>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</si>
  <si>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</si>
  <si>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</si>
  <si>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</si>
  <si>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</si>
  <si>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</si>
  <si>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</si>
  <si>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</si>
  <si>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</si>
  <si>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</si>
  <si>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</si>
  <si>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</si>
  <si>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</si>
  <si>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</si>
  <si>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</si>
  <si>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</si>
  <si>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</si>
  <si>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</si>
  <si>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</si>
  <si>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</si>
  <si>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</si>
  <si>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</si>
  <si>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</si>
  <si>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</si>
  <si>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</si>
  <si>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</si>
  <si>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</si>
  <si>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</si>
  <si>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</si>
  <si>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</si>
  <si>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</si>
  <si>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</si>
  <si>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</si>
  <si>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</si>
  <si>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</si>
  <si>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</si>
  <si>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</si>
  <si>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</si>
  <si>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</si>
  <si>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</si>
  <si>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</si>
  <si>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</si>
  <si>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</si>
  <si>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</si>
  <si>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</si>
  <si>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</si>
  <si>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</si>
  <si>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</si>
  <si>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</si>
  <si>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</si>
  <si>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</si>
  <si>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</si>
  <si>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</si>
  <si>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</si>
  <si>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</si>
  <si>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</si>
  <si>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</si>
  <si>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</si>
  <si>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</si>
  <si>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</si>
  <si>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</si>
  <si>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</si>
  <si>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</si>
  <si>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</si>
  <si>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</si>
  <si>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</si>
  <si>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</si>
  <si>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</si>
  <si>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</si>
  <si>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</si>
  <si>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</si>
  <si>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</si>
  <si>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</si>
  <si>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</si>
  <si>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</si>
  <si>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</si>
  <si>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</si>
  <si>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</si>
  <si>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</si>
  <si>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</si>
  <si>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</si>
  <si>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</si>
  <si>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</si>
  <si>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</si>
  <si>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</si>
  <si>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</si>
  <si>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</si>
  <si>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</si>
  <si>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</si>
  <si>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</si>
  <si>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</si>
  <si>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</si>
  <si>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</si>
  <si>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</si>
  <si>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</si>
  <si>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</si>
  <si>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</si>
  <si>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</si>
  <si>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</si>
  <si>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</si>
  <si>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</si>
  <si>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</si>
  <si>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</si>
  <si>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</si>
  <si>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</si>
  <si>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</si>
  <si>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</si>
  <si>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</si>
  <si>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</si>
  <si>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</si>
  <si>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</si>
  <si>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</si>
  <si>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</si>
  <si>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</si>
  <si>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</si>
  <si>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</si>
  <si>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</si>
  <si>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</si>
  <si>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</si>
  <si>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</si>
  <si>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</si>
  <si>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</si>
  <si>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</si>
  <si>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</si>
  <si>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</si>
  <si>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</si>
  <si>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</si>
  <si>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</si>
  <si>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</si>
  <si>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</si>
  <si>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</si>
  <si>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</si>
  <si>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</si>
  <si>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</si>
  <si>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</si>
  <si>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</si>
  <si>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</si>
  <si>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</si>
  <si>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</si>
  <si>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</si>
  <si>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</si>
  <si>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</si>
  <si>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</si>
  <si>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</si>
  <si>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</si>
  <si>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</si>
  <si>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</si>
  <si>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</si>
  <si>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</si>
  <si>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</si>
  <si>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</si>
  <si>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</si>
  <si>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</si>
  <si>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</si>
  <si>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</si>
  <si>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</si>
  <si>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</si>
  <si>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</si>
  <si>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</si>
  <si>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</si>
  <si>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</si>
  <si>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</si>
  <si>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</si>
  <si>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</si>
  <si>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</si>
  <si>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</si>
  <si>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</si>
  <si>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</si>
  <si>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</si>
  <si>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</si>
  <si>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</si>
  <si>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</si>
  <si>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</si>
  <si>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</si>
  <si>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</si>
  <si>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</si>
  <si>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</si>
  <si>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</si>
  <si>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</si>
  <si>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</si>
  <si>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</si>
  <si>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</si>
  <si>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</si>
  <si>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</si>
  <si>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</si>
  <si>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</si>
  <si>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</si>
  <si>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</si>
  <si>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</si>
  <si>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</si>
  <si>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</si>
  <si>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</si>
  <si>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</si>
  <si>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</si>
  <si>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</si>
  <si>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</si>
  <si>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</si>
  <si>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</si>
  <si>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</si>
  <si>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</si>
  <si>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</si>
  <si>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</si>
  <si>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</si>
  <si>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</si>
  <si>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</si>
  <si>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</si>
  <si>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</si>
  <si>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</si>
  <si>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</si>
  <si>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</si>
  <si>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</si>
  <si>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</si>
  <si>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</si>
  <si>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</si>
  <si>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</si>
  <si>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</si>
  <si>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</si>
  <si>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</si>
  <si>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</si>
  <si>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</si>
  <si>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</si>
  <si>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</si>
  <si>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</si>
  <si>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</si>
  <si>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</si>
  <si>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</si>
  <si>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</si>
  <si>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</si>
  <si>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</si>
  <si>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</si>
  <si>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</si>
  <si>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</si>
  <si>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</si>
  <si>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</si>
  <si>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</si>
  <si>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</si>
  <si>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</si>
  <si>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</si>
  <si>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</si>
  <si>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</si>
  <si>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</si>
  <si>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</si>
  <si>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</si>
  <si>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</si>
  <si>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</si>
  <si>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</si>
  <si>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</si>
  <si>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</si>
  <si>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</si>
  <si>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</si>
  <si>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</si>
  <si>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</si>
  <si>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</si>
  <si>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</si>
  <si>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</si>
  <si>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</si>
  <si>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</si>
  <si>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</si>
  <si>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</si>
  <si>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</si>
  <si>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</si>
  <si>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</si>
  <si>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</si>
  <si>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</si>
  <si>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</si>
  <si>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</si>
  <si>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</si>
  <si>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</si>
  <si>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</si>
  <si>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</si>
  <si>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</si>
  <si>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</si>
  <si>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</si>
  <si>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</si>
  <si>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</si>
  <si>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</si>
  <si>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</si>
  <si>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</si>
  <si>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</si>
  <si>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</si>
  <si>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</si>
  <si>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</si>
  <si>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</si>
  <si>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</si>
  <si>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</si>
  <si>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</si>
  <si>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</si>
  <si>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</si>
  <si>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</si>
  <si>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</si>
  <si>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</si>
  <si>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</si>
  <si>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</si>
  <si>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</si>
  <si>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</si>
  <si>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</si>
  <si>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</si>
  <si>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</si>
  <si>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</si>
  <si>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</si>
  <si>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</si>
  <si>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</si>
  <si>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</si>
  <si>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</si>
  <si>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</si>
  <si>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</si>
  <si>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</si>
  <si>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</si>
  <si>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</si>
  <si>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</si>
  <si>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</si>
  <si>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</si>
  <si>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</si>
  <si>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</si>
  <si>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</si>
  <si>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</si>
  <si>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</si>
  <si>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</si>
  <si>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</si>
  <si>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</si>
  <si>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</si>
  <si>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</si>
  <si>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</si>
  <si>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</si>
  <si>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</si>
  <si>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</si>
  <si>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</si>
  <si>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</si>
  <si>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</si>
  <si>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</si>
  <si>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</si>
  <si>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</si>
  <si>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</si>
  <si>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</si>
  <si>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</si>
  <si>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</si>
  <si>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</si>
  <si>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</si>
  <si>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</si>
  <si>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</si>
  <si>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</si>
  <si>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</si>
  <si>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</si>
  <si>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</si>
  <si>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</si>
  <si>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</si>
  <si>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</si>
  <si>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</si>
  <si>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</si>
  <si>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</si>
  <si>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</si>
  <si>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</si>
  <si>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</si>
  <si>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</si>
  <si>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</si>
  <si>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</si>
  <si>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</si>
  <si>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</si>
  <si>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</si>
  <si>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</si>
  <si>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</si>
  <si>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</si>
  <si>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</si>
  <si>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</si>
  <si>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</si>
  <si>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</si>
  <si>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</si>
  <si>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</si>
  <si>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</si>
  <si>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</si>
  <si>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</si>
  <si>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</si>
  <si>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</si>
  <si>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</si>
  <si>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</si>
  <si>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</si>
  <si>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</si>
  <si>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</si>
  <si>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</si>
  <si>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</si>
  <si>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</si>
  <si>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</si>
  <si>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</si>
  <si>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</si>
  <si>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</si>
  <si>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</si>
  <si>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</si>
  <si>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</si>
  <si>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</si>
  <si>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</si>
  <si>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</si>
  <si>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</si>
  <si>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</si>
  <si>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</si>
  <si>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</si>
  <si>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</si>
  <si>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</si>
  <si>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</si>
  <si>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</si>
  <si>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</si>
  <si>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</si>
  <si>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</si>
  <si>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</si>
  <si>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</si>
  <si>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</si>
  <si>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</si>
  <si>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</si>
  <si>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</si>
  <si>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</si>
  <si>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</si>
  <si>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</si>
  <si>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</si>
  <si>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</si>
  <si>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</si>
  <si>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</si>
  <si>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</si>
  <si>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</si>
  <si>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</si>
  <si>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</si>
  <si>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</si>
  <si>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</si>
  <si>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</si>
  <si>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</si>
  <si>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</si>
  <si>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</si>
  <si>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</si>
  <si>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</si>
  <si>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</si>
  <si>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</si>
  <si>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</si>
  <si>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</si>
  <si>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</si>
  <si>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</si>
  <si>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</si>
  <si>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</si>
  <si>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</si>
  <si>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</si>
  <si>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</si>
  <si>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</si>
  <si>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</si>
  <si>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</si>
  <si>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</si>
  <si>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</si>
  <si>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</si>
  <si>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</si>
  <si>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</si>
  <si>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</si>
  <si>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</si>
  <si>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</si>
  <si>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</si>
  <si>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</si>
  <si>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</si>
  <si>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</si>
  <si>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</si>
  <si>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</si>
  <si>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</si>
  <si>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</si>
  <si>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</si>
  <si>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</si>
  <si>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</si>
  <si>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</si>
  <si>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</si>
  <si>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</si>
  <si>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</si>
  <si>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</si>
  <si>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</si>
  <si>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</si>
  <si>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</si>
  <si>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</si>
  <si>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</si>
  <si>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</si>
  <si>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</si>
  <si>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</si>
  <si>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</si>
  <si>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</si>
  <si>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</si>
  <si>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</si>
  <si>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</si>
  <si>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</si>
  <si>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</si>
  <si>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</si>
  <si>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</si>
  <si>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</si>
  <si>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</si>
  <si>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</si>
  <si>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</si>
  <si>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</si>
  <si>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</si>
  <si>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</si>
  <si>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</si>
  <si>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</si>
  <si>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</si>
  <si>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</si>
  <si>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</si>
  <si>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</si>
  <si>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</si>
  <si>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</si>
  <si>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</si>
  <si>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</si>
  <si>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</si>
  <si>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</si>
  <si>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</si>
  <si>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</si>
  <si>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</si>
  <si>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</si>
  <si>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</si>
  <si>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</si>
  <si>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</si>
  <si>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</si>
  <si>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</si>
  <si>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</si>
  <si>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</si>
  <si>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</si>
  <si>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</si>
  <si>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</si>
  <si>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</si>
  <si>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</si>
  <si>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</si>
  <si>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</si>
  <si>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</si>
  <si>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</si>
  <si>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</si>
  <si>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</si>
  <si>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</si>
  <si>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</si>
  <si>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</si>
  <si>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</si>
  <si>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</si>
  <si>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</si>
  <si>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</si>
  <si>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</si>
  <si>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</si>
  <si>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</si>
  <si>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</si>
  <si>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</si>
  <si>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</si>
  <si>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</si>
  <si>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</si>
  <si>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</si>
  <si>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</si>
  <si>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</si>
  <si>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</si>
  <si>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</si>
  <si>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</si>
  <si>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</si>
  <si>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</si>
  <si>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</si>
  <si>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</si>
  <si>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</si>
  <si>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</si>
  <si>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</si>
  <si>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</si>
  <si>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</si>
  <si>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</si>
  <si>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</si>
  <si>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</si>
  <si>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</si>
  <si>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</si>
  <si>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</si>
  <si>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</si>
  <si>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</si>
  <si>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</si>
  <si>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</si>
  <si>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</si>
  <si>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</si>
  <si>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</si>
  <si>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</si>
  <si>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</si>
  <si>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</si>
  <si>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</si>
  <si>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</si>
  <si>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</si>
  <si>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</si>
  <si>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</si>
  <si>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</si>
  <si>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</si>
  <si>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</si>
  <si>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</si>
  <si>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</si>
  <si>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</si>
  <si>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</si>
  <si>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</si>
  <si>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</si>
  <si>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</si>
  <si>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</si>
  <si>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</si>
  <si>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</si>
  <si>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</si>
  <si>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</si>
  <si>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</si>
  <si>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</si>
  <si>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</si>
  <si>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</si>
  <si>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</si>
  <si>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</si>
  <si>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</si>
  <si>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</si>
  <si>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</si>
  <si>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</si>
  <si>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</si>
  <si>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</si>
  <si>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</si>
  <si>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</si>
  <si>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</si>
  <si>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</si>
  <si>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</si>
  <si>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</si>
  <si>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</si>
  <si>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</si>
  <si>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</si>
  <si>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</si>
  <si>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</si>
  <si>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</si>
  <si>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</si>
  <si>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</si>
  <si>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</si>
  <si>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</si>
  <si>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</si>
  <si>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</si>
  <si>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</si>
  <si>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</si>
  <si>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</si>
  <si>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</si>
  <si>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</si>
  <si>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</si>
  <si>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</si>
  <si>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</si>
  <si>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</si>
  <si>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</si>
  <si>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</si>
  <si>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</si>
  <si>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</si>
  <si>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</si>
  <si>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</si>
  <si>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</si>
  <si>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</si>
  <si>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</si>
  <si>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</si>
  <si>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</si>
  <si>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</si>
  <si>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</si>
  <si>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</si>
  <si>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</si>
  <si>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</si>
  <si>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</si>
  <si>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</si>
  <si>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</si>
  <si>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</si>
  <si>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</si>
  <si>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</si>
  <si>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</si>
  <si>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</si>
  <si>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</si>
  <si>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</si>
  <si>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</si>
  <si>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</si>
  <si>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</si>
  <si>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</si>
  <si>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</si>
  <si>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</si>
  <si>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</si>
  <si>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</si>
  <si>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</si>
  <si>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</si>
  <si>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</si>
  <si>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</si>
  <si>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</si>
  <si>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</si>
  <si>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</si>
  <si>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</si>
  <si>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</si>
  <si>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</si>
  <si>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</si>
  <si>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</si>
  <si>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</si>
  <si>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</si>
  <si>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</si>
  <si>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</si>
  <si>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</si>
  <si>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</si>
  <si>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</si>
  <si>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</si>
  <si>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</si>
  <si>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</si>
  <si>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</si>
  <si>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</si>
  <si>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</si>
  <si>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</si>
  <si>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</si>
  <si>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</si>
  <si>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</si>
  <si>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</si>
  <si>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</si>
  <si>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</si>
  <si>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</si>
  <si>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</si>
  <si>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</si>
  <si>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</si>
  <si>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</si>
  <si>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</si>
  <si>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</si>
  <si>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</si>
  <si>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</si>
  <si>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</si>
  <si>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</si>
  <si>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</si>
  <si>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</si>
  <si>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</si>
  <si>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</si>
  <si>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</si>
  <si>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</si>
  <si>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</si>
  <si>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</si>
  <si>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</si>
  <si>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</si>
  <si>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</si>
  <si>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</si>
  <si>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</si>
  <si>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</si>
  <si>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</si>
  <si>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</si>
  <si>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</si>
  <si>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</si>
  <si>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</si>
  <si>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</si>
  <si>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</si>
  <si>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</si>
  <si>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</si>
  <si>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</si>
  <si>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</si>
  <si>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</si>
  <si>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</si>
  <si>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</si>
  <si>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</si>
  <si>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</si>
  <si>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</si>
  <si>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</si>
  <si>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</si>
  <si>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</si>
  <si>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</si>
  <si>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</si>
  <si>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</si>
  <si>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</si>
  <si>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</si>
  <si>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</si>
  <si>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</si>
  <si>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</si>
  <si>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</si>
  <si>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</si>
  <si>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</si>
  <si>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</si>
  <si>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</si>
  <si>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</si>
  <si>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</si>
  <si>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</si>
  <si>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</si>
  <si>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</si>
  <si>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</si>
  <si>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</si>
  <si>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</si>
  <si>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</si>
  <si>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</si>
  <si>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</si>
  <si>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</si>
  <si>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</si>
  <si>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</si>
  <si>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</si>
  <si>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</si>
  <si>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</si>
  <si>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</si>
  <si>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</si>
  <si>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</si>
  <si>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</si>
  <si>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</si>
  <si>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</si>
  <si>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</si>
  <si>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</si>
  <si>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</si>
  <si>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</si>
  <si>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</si>
  <si>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</si>
  <si>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</si>
  <si>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</si>
  <si>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</si>
  <si>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</si>
  <si>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</si>
  <si>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</si>
  <si>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</si>
  <si>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</si>
  <si>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</si>
  <si>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</si>
  <si>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</si>
  <si>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</si>
  <si>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</si>
  <si>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</si>
  <si>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</si>
  <si>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</si>
  <si>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</si>
  <si>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</si>
  <si>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</si>
  <si>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</si>
  <si>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</si>
  <si>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</si>
  <si>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</si>
  <si>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</si>
  <si>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</si>
  <si>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</si>
  <si>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</si>
  <si>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</si>
  <si>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</si>
  <si>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</si>
  <si>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</si>
  <si>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</si>
  <si>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</si>
  <si>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</si>
  <si>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</si>
  <si>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</si>
  <si>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</si>
  <si>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</si>
  <si>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</si>
  <si>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</si>
  <si>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</si>
  <si>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</si>
  <si>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</si>
  <si>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</si>
  <si>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</si>
  <si>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</si>
  <si>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</si>
  <si>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</si>
  <si>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</si>
  <si>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</si>
  <si>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</si>
  <si>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</si>
  <si>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</si>
  <si>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</si>
  <si>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</si>
  <si>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</si>
  <si>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</si>
  <si>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</si>
  <si>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</si>
  <si>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</si>
  <si>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</si>
  <si>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</si>
  <si>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</si>
  <si>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</si>
  <si>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</si>
  <si>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</si>
  <si>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</si>
  <si>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</si>
  <si>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</si>
  <si>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</si>
  <si>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</si>
  <si>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</si>
  <si>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</si>
  <si>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</si>
  <si>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</si>
  <si>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</si>
  <si>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</si>
  <si>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</si>
  <si>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</si>
  <si>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</si>
  <si>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</si>
  <si>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</si>
  <si>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</si>
  <si>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</si>
  <si>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</si>
  <si>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</si>
  <si>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</si>
  <si>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</si>
  <si>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</si>
  <si>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</si>
  <si>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</si>
  <si>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</si>
  <si>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</si>
  <si>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</si>
  <si>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</si>
  <si>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</si>
  <si>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</si>
  <si>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</si>
  <si>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</si>
  <si>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</si>
  <si>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</si>
  <si>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</si>
  <si>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</si>
  <si>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</si>
  <si>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</si>
  <si>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</si>
  <si>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</si>
  <si>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</si>
  <si>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</si>
  <si>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</si>
  <si>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</si>
  <si>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</si>
  <si>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</si>
  <si>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</si>
  <si>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</si>
  <si>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</si>
  <si>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</si>
  <si>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</si>
  <si>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</si>
  <si>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</si>
  <si>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</si>
  <si>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</si>
  <si>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</si>
  <si>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</si>
  <si>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</si>
  <si>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</si>
  <si>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</si>
  <si>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</si>
  <si>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</si>
  <si>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</si>
  <si>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</si>
  <si>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</si>
  <si>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</si>
  <si>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</si>
  <si>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</si>
  <si>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</si>
  <si>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</si>
  <si>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</si>
  <si>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</si>
  <si>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</si>
  <si>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</si>
  <si>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</si>
  <si>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</si>
  <si>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</si>
  <si>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</si>
  <si>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</si>
  <si>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</si>
  <si>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</si>
  <si>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</si>
  <si>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</si>
  <si>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</si>
  <si>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</si>
  <si>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</si>
  <si>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</si>
  <si>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</si>
  <si>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</si>
  <si>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</si>
  <si>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</si>
  <si>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</si>
  <si>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</si>
  <si>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</si>
  <si>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</si>
  <si>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</si>
  <si>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</si>
  <si>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</si>
  <si>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</si>
  <si>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</si>
  <si>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</si>
  <si>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</si>
  <si>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</si>
  <si>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</si>
  <si>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</si>
  <si>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</si>
  <si>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</si>
  <si>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</si>
  <si>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</si>
  <si>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</si>
  <si>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</si>
  <si>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</si>
  <si>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</si>
  <si>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</si>
  <si>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</si>
  <si>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</si>
  <si>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</si>
  <si>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</si>
  <si>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</si>
  <si>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</si>
  <si>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</si>
  <si>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</si>
  <si>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</si>
  <si>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</si>
  <si>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</si>
  <si>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</si>
  <si>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</si>
  <si>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</si>
  <si>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</si>
  <si>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</si>
  <si>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</si>
  <si>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</si>
  <si>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</si>
  <si>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</si>
  <si>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</si>
  <si>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</si>
  <si>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</si>
  <si>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</si>
  <si>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</si>
  <si>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</si>
  <si>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</si>
  <si>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</si>
  <si>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</si>
  <si>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</si>
  <si>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</si>
  <si>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</si>
  <si>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</si>
  <si>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</si>
  <si>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</si>
  <si>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</si>
  <si>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</si>
  <si>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</si>
  <si>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</si>
  <si>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</si>
  <si>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</si>
  <si>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</si>
  <si>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</si>
  <si>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</si>
  <si>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</si>
  <si>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</si>
  <si>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</si>
  <si>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</si>
  <si>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</si>
  <si>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</si>
  <si>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</si>
  <si>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</si>
  <si>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</si>
  <si>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</si>
  <si>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</si>
  <si>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</si>
  <si>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</si>
  <si>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</si>
  <si>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</si>
  <si>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</si>
  <si>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</si>
  <si>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</si>
  <si>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</si>
  <si>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</si>
  <si>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</si>
  <si>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</si>
  <si>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</si>
  <si>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</si>
  <si>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</si>
  <si>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</si>
  <si>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</si>
  <si>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</si>
  <si>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</si>
  <si>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</si>
  <si>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</si>
  <si>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</si>
  <si>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</si>
  <si>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</si>
  <si>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</si>
  <si>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</si>
  <si>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</si>
  <si>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</si>
  <si>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</si>
  <si>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</si>
  <si>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</si>
  <si>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</si>
  <si>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</si>
  <si>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</si>
  <si>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</si>
  <si>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</si>
  <si>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</si>
  <si>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</si>
  <si>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</si>
  <si>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</si>
  <si>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</si>
  <si>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</si>
  <si>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</si>
  <si>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</si>
  <si>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</si>
  <si>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</si>
  <si>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</si>
  <si>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</si>
  <si>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</si>
  <si>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</si>
  <si>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</si>
  <si>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</si>
  <si>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</si>
  <si>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</si>
  <si>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</si>
  <si>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</si>
  <si>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</si>
  <si>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</si>
  <si>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</si>
  <si>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</si>
  <si>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</si>
  <si>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</si>
  <si>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</si>
  <si>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</si>
  <si>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</si>
  <si>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</si>
  <si>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</si>
  <si>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</si>
  <si>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</si>
  <si>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</si>
  <si>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</si>
  <si>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</si>
  <si>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</si>
  <si>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</si>
  <si>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</si>
  <si>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</si>
  <si>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</si>
  <si>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</si>
  <si>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</si>
  <si>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</si>
  <si>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</si>
  <si>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</si>
  <si>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</si>
  <si>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</si>
  <si>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</si>
  <si>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</si>
  <si>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</si>
  <si>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</si>
  <si>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</si>
  <si>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</si>
  <si>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</si>
  <si>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</si>
  <si>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</si>
  <si>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</si>
  <si>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</si>
  <si>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</si>
  <si>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</si>
  <si>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</si>
  <si>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</si>
  <si>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</si>
  <si>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</si>
  <si>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</si>
  <si>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</si>
  <si>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</si>
  <si>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</si>
  <si>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</si>
  <si>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</si>
  <si>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</si>
  <si>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</si>
  <si>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</si>
  <si>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</si>
  <si>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</si>
  <si>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</si>
  <si>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</si>
  <si>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</si>
  <si>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</si>
  <si>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</si>
  <si>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</si>
  <si>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</si>
  <si>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</si>
  <si>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</si>
  <si>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</si>
  <si>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</si>
  <si>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</si>
  <si>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</si>
  <si>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</si>
  <si>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</si>
  <si>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</si>
  <si>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</si>
  <si>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</si>
  <si>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</si>
  <si>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</si>
  <si>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</si>
  <si>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</si>
  <si>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</si>
  <si>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</si>
  <si>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</si>
  <si>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</si>
  <si>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</si>
  <si>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</si>
  <si>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</si>
  <si>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</si>
  <si>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</si>
  <si>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</si>
  <si>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</si>
  <si>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</si>
  <si>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</si>
  <si>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</si>
  <si>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</si>
  <si>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</si>
  <si>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</si>
  <si>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</si>
  <si>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</si>
  <si>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</si>
  <si>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</si>
  <si>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</si>
  <si>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</si>
  <si>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</si>
  <si>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</si>
  <si>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</si>
  <si>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</si>
  <si>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</si>
  <si>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</si>
  <si>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</si>
  <si>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</si>
  <si>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</si>
  <si>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</si>
  <si>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</si>
  <si>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</si>
  <si>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</si>
  <si>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</si>
  <si>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</si>
  <si>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</si>
  <si>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</si>
  <si>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</si>
  <si>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</si>
  <si>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</si>
  <si>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</si>
  <si>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</si>
  <si>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</si>
  <si>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</si>
  <si>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</si>
  <si>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</si>
  <si>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</si>
  <si>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</si>
  <si>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</si>
  <si>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</si>
  <si>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</si>
  <si>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</si>
  <si>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</si>
  <si>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</si>
  <si>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</si>
  <si>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</si>
  <si>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</si>
  <si>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</si>
  <si>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</si>
  <si>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</si>
  <si>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</si>
  <si>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</si>
  <si>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</si>
  <si>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</si>
  <si>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</si>
  <si>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</si>
  <si>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</si>
  <si>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</si>
  <si>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</si>
  <si>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</si>
  <si>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</si>
  <si>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</si>
  <si>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</si>
  <si>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</si>
  <si>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</si>
  <si>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</si>
  <si>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</si>
  <si>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</si>
  <si>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</si>
  <si>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</si>
  <si>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</si>
  <si>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</si>
  <si>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</si>
  <si>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</si>
  <si>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</si>
  <si>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</si>
  <si>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</si>
  <si>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</si>
  <si>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</si>
  <si>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</si>
  <si>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</si>
  <si>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</si>
  <si>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</si>
  <si>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</si>
  <si>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</si>
  <si>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</si>
  <si>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</si>
  <si>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</si>
  <si>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</si>
  <si>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</si>
  <si>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</si>
  <si>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</si>
  <si>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</si>
  <si>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</si>
  <si>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</si>
  <si>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</si>
  <si>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</si>
  <si>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</si>
  <si>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</si>
  <si>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</si>
  <si>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</si>
  <si>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</si>
  <si>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</si>
  <si>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</si>
  <si>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</si>
  <si>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</si>
  <si>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</si>
  <si>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</si>
  <si>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</si>
  <si>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</si>
  <si>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</si>
  <si>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</si>
  <si>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</si>
  <si>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</si>
  <si>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</si>
  <si>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</si>
  <si>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</si>
  <si>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</si>
  <si>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</si>
  <si>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</si>
  <si>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</si>
  <si>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</si>
  <si>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</si>
  <si>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</si>
  <si>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</si>
  <si>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</si>
  <si>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</si>
  <si>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</si>
  <si>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</si>
  <si>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</si>
  <si>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</si>
  <si>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</si>
  <si>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</si>
  <si>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</si>
  <si>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</si>
  <si>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</si>
  <si>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</si>
  <si>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</si>
  <si>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</si>
  <si>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</si>
  <si>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</si>
  <si>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</si>
  <si>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</si>
  <si>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</si>
  <si>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</si>
  <si>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</si>
  <si>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</si>
  <si>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</si>
  <si>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</si>
  <si>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</si>
  <si>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</si>
  <si>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</si>
  <si>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</si>
  <si>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</si>
  <si>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</si>
  <si>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</si>
  <si>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</si>
  <si>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</si>
  <si>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</si>
  <si>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</si>
  <si>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</si>
  <si>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</si>
  <si>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</si>
  <si>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</si>
  <si>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</si>
  <si>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</si>
  <si>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</si>
  <si>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</si>
  <si>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</si>
  <si>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</si>
  <si>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</si>
  <si>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</si>
  <si>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</si>
  <si>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</si>
  <si>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</si>
  <si>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</si>
  <si>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</si>
  <si>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</si>
  <si>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</si>
  <si>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</si>
  <si>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</si>
  <si>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</si>
  <si>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</si>
  <si>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</si>
  <si>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</si>
  <si>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</si>
  <si>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</si>
  <si>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</si>
  <si>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</si>
  <si>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</si>
  <si>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</si>
  <si>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</si>
  <si>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</si>
  <si>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</si>
  <si>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</si>
  <si>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</si>
  <si>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</si>
  <si>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</si>
  <si>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</si>
  <si>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</si>
  <si>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</si>
  <si>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</si>
  <si>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</si>
  <si>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</si>
  <si>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</si>
  <si>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</si>
  <si>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</si>
  <si>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</si>
  <si>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</si>
  <si>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</si>
  <si>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</si>
  <si>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</si>
  <si>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</si>
  <si>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</si>
  <si>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</si>
  <si>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</si>
  <si>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</si>
  <si>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</si>
  <si>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</si>
  <si>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</si>
  <si>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</si>
  <si>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</si>
  <si>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</si>
  <si>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</si>
  <si>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</si>
  <si>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</si>
  <si>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</si>
  <si>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</si>
  <si>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</si>
  <si>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</si>
  <si>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</si>
  <si>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</si>
  <si>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</si>
  <si>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</si>
  <si>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</si>
  <si>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</si>
  <si>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</si>
  <si>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</si>
  <si>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</si>
  <si>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</si>
  <si>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</si>
  <si>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</si>
  <si>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</si>
  <si>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</si>
  <si>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</si>
  <si>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</si>
  <si>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</si>
  <si>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</si>
  <si>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</si>
  <si>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</si>
  <si>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</si>
  <si>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</si>
  <si>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</si>
  <si>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</si>
  <si>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</si>
  <si>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</si>
  <si>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</si>
  <si>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</si>
  <si>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</si>
  <si>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</si>
  <si>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</si>
  <si>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</si>
  <si>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</si>
  <si>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</si>
  <si>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</si>
  <si>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</si>
  <si>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</si>
  <si>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</si>
  <si>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</si>
  <si>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</si>
  <si>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</si>
  <si>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</si>
  <si>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</si>
  <si>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</si>
  <si>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</si>
  <si>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</si>
  <si>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</si>
  <si>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</si>
  <si>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</si>
  <si>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</si>
  <si>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</si>
  <si>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</si>
  <si>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</si>
  <si>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</si>
  <si>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</si>
  <si>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</si>
  <si>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</si>
  <si>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</si>
  <si>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</si>
  <si>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</si>
  <si>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</si>
  <si>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</si>
  <si>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</si>
  <si>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</si>
  <si>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</si>
  <si>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</si>
  <si>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</si>
  <si>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</si>
  <si>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</si>
  <si>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</si>
  <si>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</si>
  <si>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</si>
  <si>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</si>
  <si>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</si>
  <si>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</si>
  <si>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</si>
  <si>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</si>
  <si>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</si>
  <si>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</si>
  <si>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</si>
  <si>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</si>
  <si>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</si>
  <si>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</si>
  <si>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</si>
  <si>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</si>
  <si>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</si>
  <si>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</si>
  <si>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</si>
  <si>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</si>
  <si>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</si>
  <si>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</si>
  <si>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</si>
  <si>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</si>
  <si>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</si>
  <si>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</si>
  <si>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</si>
  <si>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</si>
  <si>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</si>
  <si>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</si>
  <si>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</si>
  <si>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</si>
  <si>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</si>
  <si>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</si>
  <si>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</si>
  <si>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</si>
  <si>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</si>
  <si>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</si>
  <si>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</si>
  <si>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</si>
  <si>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</si>
  <si>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</si>
  <si>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</si>
  <si>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</si>
  <si>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</si>
  <si>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</si>
  <si>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</si>
  <si>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</si>
  <si>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</si>
  <si>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</si>
  <si>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</si>
  <si>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</si>
  <si>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</si>
  <si>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</si>
  <si>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</si>
  <si>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</si>
  <si>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</si>
  <si>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</si>
  <si>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</si>
  <si>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</si>
  <si>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</si>
  <si>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</si>
  <si>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</si>
  <si>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</si>
  <si>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</si>
  <si>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</si>
  <si>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</si>
  <si>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</si>
  <si>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</si>
  <si>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</si>
  <si>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</si>
  <si>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</si>
  <si>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</si>
  <si>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</si>
  <si>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</si>
  <si>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</si>
  <si>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</si>
  <si>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</si>
  <si>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</si>
  <si>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</si>
  <si>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</si>
  <si>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</si>
  <si>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</si>
  <si>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</si>
  <si>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</si>
  <si>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</si>
  <si>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</si>
  <si>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</si>
  <si>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</si>
  <si>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</si>
  <si>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</si>
  <si>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</si>
  <si>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</si>
  <si>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</si>
  <si>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</si>
  <si>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</si>
  <si>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</si>
  <si>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</si>
  <si>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</si>
  <si>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</si>
  <si>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</si>
  <si>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</si>
  <si>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</si>
  <si>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</si>
  <si>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</si>
  <si>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</si>
  <si>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</si>
  <si>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</si>
  <si>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</si>
  <si>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</si>
  <si>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</si>
  <si>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</si>
  <si>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</si>
  <si>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</si>
  <si>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</si>
  <si>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</si>
  <si>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</si>
  <si>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</si>
  <si>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</si>
  <si>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</si>
  <si>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</si>
  <si>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</si>
  <si>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</si>
  <si>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</si>
  <si>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</si>
  <si>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</si>
  <si>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</si>
  <si>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</si>
  <si>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</si>
  <si>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</si>
  <si>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</si>
  <si>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</si>
  <si>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</si>
  <si>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</si>
  <si>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</si>
  <si>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</si>
  <si>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</si>
  <si>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</si>
  <si>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</si>
  <si>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</si>
  <si>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</si>
  <si>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</si>
  <si>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</si>
  <si>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</si>
  <si>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</si>
  <si>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</si>
  <si>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</si>
  <si>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</si>
  <si>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</si>
  <si>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</si>
  <si>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</si>
  <si>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</si>
  <si>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</si>
  <si>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</si>
  <si>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</si>
  <si>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</si>
  <si>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</si>
  <si>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</si>
  <si>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</si>
  <si>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</si>
  <si>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</si>
  <si>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</si>
  <si>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</si>
  <si>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</si>
  <si>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</si>
  <si>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</si>
  <si>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</si>
  <si>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</si>
  <si>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</si>
  <si>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</si>
  <si>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</si>
  <si>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</si>
  <si>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</si>
  <si>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</si>
  <si>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</si>
  <si>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</si>
  <si>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</si>
  <si>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</si>
  <si>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</si>
  <si>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</si>
  <si>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</si>
  <si>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</si>
  <si>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</si>
  <si>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</si>
  <si>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</si>
  <si>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</si>
  <si>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</si>
  <si>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</si>
  <si>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</si>
  <si>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</si>
  <si>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</si>
  <si>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</si>
  <si>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</si>
  <si>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</si>
  <si>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</si>
  <si>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</si>
  <si>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</si>
  <si>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</si>
  <si>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</si>
  <si>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</si>
  <si>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</si>
  <si>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</si>
  <si>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</si>
  <si>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</si>
  <si>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</si>
  <si>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</si>
  <si>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</si>
  <si>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</si>
  <si>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</si>
  <si>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</si>
  <si>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</si>
  <si>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</si>
  <si>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</si>
  <si>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</si>
  <si>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</si>
  <si>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</si>
  <si>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</si>
  <si>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</si>
  <si>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</si>
  <si>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</si>
  <si>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</si>
  <si>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</si>
  <si>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</si>
  <si>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</si>
  <si>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</si>
  <si>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</si>
  <si>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</si>
  <si>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</si>
  <si>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</si>
  <si>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</si>
  <si>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</si>
  <si>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</si>
  <si>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</si>
  <si>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</si>
  <si>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</si>
  <si>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</si>
  <si>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</si>
  <si>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</si>
  <si>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</si>
  <si>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</si>
  <si>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</si>
  <si>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</si>
  <si>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</si>
  <si>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</si>
  <si>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</si>
  <si>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</si>
  <si>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</si>
  <si>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</si>
  <si>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</si>
  <si>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</si>
  <si>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</si>
  <si>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</si>
  <si>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</si>
  <si>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</si>
  <si>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</si>
  <si>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</si>
  <si>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</si>
  <si>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</si>
  <si>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</si>
  <si>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</si>
  <si>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</si>
  <si>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</si>
  <si>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</si>
  <si>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</si>
  <si>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</si>
  <si>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</si>
  <si>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</si>
  <si>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</si>
  <si>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</si>
  <si>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</si>
  <si>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</si>
  <si>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</si>
  <si>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</si>
  <si>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</si>
  <si>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</si>
  <si>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</si>
  <si>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</si>
  <si>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</si>
  <si>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</si>
  <si>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</si>
  <si>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</si>
  <si>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</si>
  <si>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</si>
  <si>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</si>
  <si>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</si>
  <si>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</si>
  <si>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</si>
  <si>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</si>
  <si>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</si>
  <si>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</si>
  <si>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</si>
  <si>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</si>
  <si>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</si>
  <si>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</si>
  <si>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</si>
  <si>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</si>
  <si>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</si>
  <si>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</si>
  <si>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</si>
  <si>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</si>
  <si>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</si>
  <si>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</si>
  <si>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</si>
  <si>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</si>
  <si>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</si>
  <si>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</si>
  <si>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</si>
  <si>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</si>
  <si>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</si>
  <si>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</si>
  <si>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</si>
  <si>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</si>
  <si>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</si>
  <si>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</si>
  <si>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</si>
  <si>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</si>
  <si>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</si>
  <si>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</si>
  <si>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</si>
  <si>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</si>
  <si>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</si>
  <si>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</si>
  <si>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</si>
  <si>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</si>
  <si>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</si>
  <si>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</si>
  <si>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</si>
  <si>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</si>
  <si>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</si>
  <si>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</si>
  <si>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</si>
  <si>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</si>
  <si>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</si>
  <si>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</si>
  <si>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</si>
  <si>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</si>
  <si>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</si>
  <si>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</si>
  <si>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</si>
  <si>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</si>
  <si>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</si>
  <si>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</si>
  <si>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</si>
  <si>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</si>
  <si>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</si>
  <si>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</si>
  <si>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</si>
  <si>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</si>
  <si>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</si>
  <si>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</si>
  <si>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</si>
  <si>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</si>
  <si>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</si>
  <si>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</si>
  <si>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</si>
  <si>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</si>
  <si>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</si>
  <si>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</si>
  <si>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</si>
  <si>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</si>
  <si>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</si>
  <si>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</si>
  <si>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</si>
  <si>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</si>
  <si>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</si>
  <si>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</si>
  <si>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</si>
  <si>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</si>
  <si>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</si>
  <si>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</si>
  <si>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</si>
  <si>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</si>
  <si>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</si>
  <si>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</si>
  <si>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</si>
  <si>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</si>
  <si>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</si>
  <si>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</si>
  <si>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</si>
  <si>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</si>
  <si>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</si>
  <si>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</si>
  <si>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</si>
  <si>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</si>
  <si>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</si>
  <si>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</si>
  <si>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</si>
  <si>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</si>
  <si>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</si>
  <si>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</si>
  <si>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</si>
  <si>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</si>
  <si>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</si>
  <si>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</si>
  <si>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</si>
  <si>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</si>
  <si>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</si>
  <si>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</si>
  <si>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</si>
  <si>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</si>
  <si>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</si>
  <si>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</si>
  <si>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</si>
  <si>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</si>
  <si>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</si>
  <si>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</si>
  <si>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</si>
  <si>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</si>
  <si>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</si>
  <si>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</si>
  <si>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</si>
  <si>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</si>
  <si>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</si>
  <si>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</si>
  <si>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</si>
  <si>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</si>
  <si>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</si>
  <si>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</si>
  <si>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</si>
  <si>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</si>
  <si>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</si>
  <si>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</si>
  <si>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</si>
  <si>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</si>
  <si>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</si>
  <si>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</si>
  <si>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</si>
  <si>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</si>
  <si>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</si>
  <si>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</si>
  <si>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</si>
  <si>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</si>
  <si>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</si>
  <si>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</si>
  <si>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</si>
  <si>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</si>
  <si>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</si>
  <si>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</si>
  <si>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</si>
  <si>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</si>
  <si>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</si>
  <si>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</si>
  <si>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</si>
  <si>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</si>
  <si>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</si>
  <si>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</si>
  <si>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</si>
  <si>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</si>
  <si>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</si>
  <si>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</si>
  <si>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</si>
  <si>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</si>
  <si>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</si>
  <si>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</si>
  <si>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</si>
  <si>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</si>
  <si>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</si>
  <si>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</si>
  <si>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</si>
  <si>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</si>
  <si>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</si>
  <si>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</si>
  <si>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</si>
  <si>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</si>
  <si>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</si>
  <si>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</si>
  <si>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</si>
  <si>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</si>
  <si>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</si>
  <si>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</si>
  <si>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</si>
  <si>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</si>
  <si>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</si>
  <si>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</si>
  <si>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</si>
  <si>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</si>
  <si>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</si>
  <si>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</si>
  <si>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</si>
  <si>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</si>
  <si>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</si>
  <si>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</si>
  <si>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</si>
  <si>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</si>
  <si>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</si>
  <si>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</si>
  <si>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</si>
  <si>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</si>
  <si>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</si>
  <si>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</si>
  <si>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</si>
  <si>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</si>
  <si>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</si>
  <si>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</si>
  <si>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</si>
  <si>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</si>
  <si>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</si>
  <si>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</si>
  <si>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</si>
  <si>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</si>
  <si>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</si>
  <si>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</si>
  <si>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</si>
  <si>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</si>
  <si>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</si>
  <si>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</si>
  <si>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</si>
  <si>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</si>
  <si>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</si>
  <si>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</si>
  <si>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</si>
  <si>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</si>
  <si>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</si>
  <si>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</si>
  <si>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</si>
  <si>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</si>
  <si>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</si>
  <si>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</si>
  <si>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</si>
  <si>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</si>
  <si>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</si>
  <si>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</si>
  <si>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</si>
  <si>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</si>
  <si>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</si>
  <si>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</si>
  <si>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</si>
  <si>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</si>
  <si>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</si>
  <si>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</si>
  <si>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</si>
  <si>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</si>
  <si>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</si>
  <si>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</si>
  <si>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</si>
  <si>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</si>
  <si>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</si>
  <si>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</si>
  <si>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</si>
  <si>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</si>
  <si>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</si>
  <si>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</si>
  <si>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</si>
  <si>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</si>
  <si>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</si>
  <si>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</si>
  <si>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</si>
  <si>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</si>
  <si>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</si>
  <si>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</si>
  <si>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</si>
  <si>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</si>
  <si>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</si>
  <si>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</si>
  <si>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</si>
  <si>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</si>
  <si>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</si>
  <si>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</si>
  <si>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</si>
  <si>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</si>
  <si>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</si>
  <si>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</si>
  <si>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</si>
  <si>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</si>
  <si>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</si>
  <si>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</si>
  <si>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</si>
  <si>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</si>
  <si>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</si>
  <si>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</si>
  <si>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</si>
  <si>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</si>
  <si>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</si>
  <si>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</si>
  <si>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</si>
  <si>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</si>
  <si>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</si>
  <si>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</si>
  <si>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</si>
  <si>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</si>
  <si>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</si>
  <si>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</si>
  <si>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</si>
  <si>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</si>
  <si>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</si>
  <si>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</si>
  <si>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</si>
  <si>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</si>
  <si>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</si>
  <si>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</si>
  <si>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</si>
  <si>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</si>
  <si>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</si>
  <si>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</si>
  <si>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</si>
  <si>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</si>
  <si>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</si>
  <si>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</si>
  <si>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</si>
  <si>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</si>
  <si>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</si>
  <si>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</si>
  <si>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</si>
  <si>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</si>
  <si>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</si>
  <si>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</si>
  <si>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</si>
  <si>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</si>
  <si>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</si>
  <si>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</si>
  <si>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</si>
  <si>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</si>
  <si>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</si>
  <si>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</si>
  <si>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</si>
  <si>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</si>
  <si>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</si>
  <si>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</si>
  <si>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</si>
  <si>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</si>
  <si>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</si>
  <si>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</si>
  <si>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</si>
  <si>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</si>
  <si>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</si>
  <si>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</si>
  <si>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</si>
  <si>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</si>
  <si>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</si>
  <si>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</si>
  <si>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</si>
  <si>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</si>
  <si>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</si>
  <si>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</si>
  <si>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</si>
  <si>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</si>
  <si>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</si>
  <si>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</si>
  <si>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</si>
  <si>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</si>
  <si>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</si>
  <si>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</si>
  <si>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</si>
  <si>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</si>
  <si>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</si>
  <si>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</si>
  <si>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</si>
  <si>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</si>
  <si>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</si>
  <si>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</si>
  <si>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</si>
  <si>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</si>
  <si>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</si>
  <si>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</si>
  <si>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</si>
  <si>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</si>
  <si>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</si>
  <si>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</si>
  <si>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</si>
  <si>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</si>
  <si>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</si>
  <si>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</si>
  <si>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</si>
  <si>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</si>
  <si>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</si>
  <si>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</si>
  <si>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</si>
  <si>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</si>
  <si>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</si>
  <si>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</si>
  <si>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</si>
  <si>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</si>
  <si>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</si>
  <si>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</si>
  <si>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</si>
  <si>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</si>
  <si>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</si>
  <si>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</si>
  <si>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</si>
  <si>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</si>
  <si>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</si>
  <si>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</si>
  <si>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</si>
  <si>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</si>
  <si>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</si>
  <si>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</si>
  <si>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</si>
  <si>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</si>
  <si>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</si>
  <si>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</si>
  <si>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</si>
  <si>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</si>
  <si>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</si>
  <si>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</si>
  <si>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</si>
  <si>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</si>
  <si>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</si>
  <si>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</si>
  <si>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</si>
  <si>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</si>
  <si>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</si>
  <si>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</si>
  <si>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</si>
  <si>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</si>
  <si>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</si>
  <si>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</si>
  <si>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</si>
  <si>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</si>
  <si>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</si>
  <si>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</si>
  <si>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</si>
  <si>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</si>
  <si>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</si>
  <si>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</si>
  <si>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</si>
  <si>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</si>
  <si>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</si>
  <si>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</si>
  <si>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</si>
  <si>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</si>
  <si>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</si>
  <si>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</si>
  <si>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</si>
  <si>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</si>
  <si>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</si>
  <si>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</si>
  <si>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</si>
  <si>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</si>
  <si>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</si>
  <si>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</si>
  <si>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</si>
  <si>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</si>
  <si>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</si>
  <si>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</si>
  <si>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</si>
  <si>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</si>
  <si>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</si>
  <si>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</si>
  <si>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</si>
  <si>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</si>
  <si>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</si>
  <si>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</si>
  <si>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</si>
  <si>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</si>
  <si>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</si>
  <si>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</si>
  <si>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</si>
  <si>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</si>
  <si>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</si>
  <si>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</si>
  <si>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</si>
  <si>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</si>
  <si>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</si>
  <si>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</si>
  <si>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</si>
  <si>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</si>
  <si>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</si>
  <si>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</si>
  <si>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</si>
  <si>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</si>
  <si>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</si>
  <si>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</si>
  <si>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</si>
  <si>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</si>
  <si>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</si>
  <si>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</si>
  <si>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</si>
  <si>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</si>
  <si>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</si>
  <si>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</si>
  <si>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</si>
  <si>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</si>
  <si>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</si>
  <si>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</si>
  <si>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</si>
  <si>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</si>
  <si>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</si>
  <si>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</si>
  <si>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</si>
  <si>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</si>
  <si>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</si>
  <si>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</si>
  <si>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</si>
  <si>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</si>
  <si>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</si>
  <si>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</si>
  <si>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</si>
  <si>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</si>
  <si>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</si>
  <si>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</si>
  <si>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</si>
  <si>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</si>
  <si>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</si>
  <si>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</si>
  <si>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</si>
  <si>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</si>
  <si>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</si>
  <si>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</si>
  <si>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</si>
  <si>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</si>
  <si>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</si>
  <si>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</si>
  <si>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</si>
  <si>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</si>
  <si>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</si>
  <si>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</si>
  <si>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</si>
  <si>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</si>
  <si>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</si>
  <si>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</si>
  <si>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</si>
  <si>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</si>
  <si>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</si>
  <si>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</si>
  <si>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</si>
  <si>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</si>
  <si>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</si>
  <si>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</si>
  <si>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</si>
  <si>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</si>
  <si>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</si>
  <si>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</si>
  <si>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</si>
  <si>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</si>
  <si>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</si>
  <si>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</si>
  <si>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</si>
  <si>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</si>
  <si>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</si>
  <si>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</si>
  <si>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</si>
  <si>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</si>
  <si>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</si>
  <si>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</si>
  <si>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</si>
  <si>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</si>
  <si>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</si>
  <si>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</si>
  <si>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</si>
  <si>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</si>
  <si>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</si>
  <si>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</si>
  <si>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</si>
  <si>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</si>
  <si>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</si>
  <si>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</si>
  <si>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</si>
  <si>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</si>
  <si>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</si>
  <si>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</si>
  <si>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</si>
  <si>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</si>
  <si>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</si>
  <si>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</si>
  <si>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</si>
  <si>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</si>
  <si>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</si>
  <si>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</si>
  <si>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</si>
  <si>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</si>
  <si>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</si>
  <si>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</si>
  <si>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</si>
  <si>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</si>
  <si>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</si>
  <si>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</si>
  <si>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</si>
  <si>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</si>
  <si>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</si>
  <si>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</si>
  <si>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</si>
  <si>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</si>
  <si>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</si>
  <si>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</si>
  <si>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</si>
  <si>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</si>
  <si>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</si>
  <si>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</si>
  <si>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</si>
  <si>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</si>
  <si>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</si>
  <si>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</si>
  <si>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</si>
  <si>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</si>
  <si>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</si>
  <si>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</si>
  <si>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</si>
  <si>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</si>
  <si>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</si>
  <si>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</si>
  <si>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</si>
  <si>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</si>
  <si>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</si>
  <si>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</si>
  <si>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</si>
  <si>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</si>
  <si>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</si>
  <si>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</si>
  <si>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</si>
  <si>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</si>
  <si>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</si>
  <si>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</si>
  <si>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</si>
  <si>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</si>
  <si>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</si>
  <si>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</si>
  <si>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</si>
  <si>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</si>
  <si>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</si>
  <si>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</si>
  <si>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</si>
  <si>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</si>
  <si>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</si>
  <si>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</si>
  <si>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</si>
  <si>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</si>
  <si>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</si>
  <si>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</si>
  <si>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</si>
  <si>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</si>
  <si>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</si>
  <si>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</si>
  <si>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</si>
  <si>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</si>
  <si>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</si>
  <si>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</si>
  <si>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</si>
  <si>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</si>
  <si>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</si>
  <si>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</si>
  <si>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</si>
  <si>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</si>
  <si>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</si>
  <si>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</si>
  <si>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</si>
  <si>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</si>
  <si>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</si>
  <si>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</si>
  <si>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</si>
  <si>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</si>
  <si>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</si>
  <si>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</si>
  <si>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</si>
  <si>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</si>
  <si>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</si>
  <si>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</si>
  <si>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</si>
  <si>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</si>
  <si>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</si>
  <si>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</si>
  <si>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</si>
  <si>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</si>
  <si>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</si>
  <si>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</si>
  <si>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</si>
  <si>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</si>
  <si>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</si>
  <si>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</si>
  <si>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</si>
  <si>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</si>
  <si>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</si>
  <si>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</si>
  <si>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</si>
  <si>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</si>
  <si>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</si>
  <si>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</si>
  <si>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</si>
  <si>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</si>
  <si>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</si>
  <si>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</si>
  <si>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</si>
  <si>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</si>
  <si>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</si>
  <si>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</si>
  <si>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</si>
  <si>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</si>
  <si>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</si>
  <si>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</si>
  <si>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</si>
  <si>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</si>
  <si>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</si>
  <si>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</si>
  <si>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</si>
  <si>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</si>
  <si>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</si>
  <si>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</si>
  <si>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</si>
  <si>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</si>
  <si>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</si>
  <si>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</si>
  <si>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</si>
  <si>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</si>
  <si>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</si>
  <si>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</si>
  <si>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</si>
  <si>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</si>
  <si>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</si>
  <si>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</si>
  <si>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</si>
  <si>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</si>
  <si>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</si>
  <si>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</si>
  <si>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</si>
  <si>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</si>
  <si>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</si>
  <si>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</si>
  <si>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</si>
  <si>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</si>
  <si>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</si>
  <si>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</si>
  <si>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</si>
  <si>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</si>
  <si>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</si>
  <si>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</si>
  <si>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</si>
  <si>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</si>
  <si>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</si>
  <si>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</si>
  <si>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</si>
  <si>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</si>
  <si>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</si>
  <si>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</si>
  <si>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</si>
  <si>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</si>
  <si>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</si>
  <si>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</si>
  <si>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</si>
  <si>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</si>
  <si>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</si>
  <si>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</si>
  <si>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</si>
  <si>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</si>
  <si>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</si>
  <si>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</si>
  <si>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</si>
  <si>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</si>
  <si>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</si>
  <si>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</si>
  <si>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</si>
  <si>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</si>
  <si>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</si>
  <si>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</si>
  <si>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</si>
  <si>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</si>
  <si>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</si>
  <si>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</si>
  <si>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</si>
  <si>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</si>
  <si>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</si>
  <si>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</si>
  <si>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</si>
  <si>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</si>
  <si>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</si>
  <si>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</si>
  <si>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</si>
  <si>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</si>
  <si>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</si>
  <si>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</si>
  <si>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</si>
  <si>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</si>
  <si>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</si>
  <si>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</si>
  <si>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</si>
  <si>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</si>
  <si>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</si>
  <si>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</si>
  <si>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</si>
  <si>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</si>
  <si>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</si>
  <si>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</si>
  <si>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</si>
  <si>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</si>
  <si>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</si>
  <si>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</si>
  <si>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</si>
  <si>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</si>
  <si>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</si>
  <si>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</si>
  <si>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</si>
  <si>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</si>
  <si>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</si>
  <si>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</si>
  <si>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</si>
  <si>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</si>
  <si>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</si>
  <si>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</si>
  <si>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</si>
  <si>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</si>
  <si>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</si>
  <si>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</si>
  <si>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</si>
  <si>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</si>
  <si>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</si>
  <si>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</si>
  <si>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</si>
  <si>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</si>
  <si>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</si>
  <si>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</si>
  <si>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</si>
  <si>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</si>
  <si>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</si>
  <si>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</si>
  <si>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</si>
  <si>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</si>
  <si>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</si>
  <si>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</si>
  <si>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</si>
  <si>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</si>
  <si>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</si>
  <si>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</si>
  <si>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</si>
  <si>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</si>
  <si>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</si>
  <si>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</si>
  <si>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</si>
  <si>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</si>
  <si>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</si>
  <si>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</si>
  <si>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</si>
  <si>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</si>
  <si>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</si>
  <si>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</si>
  <si>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</si>
  <si>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</si>
  <si>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</si>
  <si>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</si>
  <si>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</si>
  <si>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</si>
  <si>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</si>
  <si>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</si>
  <si>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</si>
  <si>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</si>
  <si>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</si>
  <si>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</si>
  <si>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</si>
  <si>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</si>
  <si>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</si>
  <si>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</si>
  <si>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</si>
  <si>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</si>
  <si>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</si>
  <si>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</si>
  <si>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</si>
  <si>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</si>
  <si>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</si>
  <si>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</si>
  <si>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</si>
  <si>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</si>
  <si>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</si>
  <si>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</si>
  <si>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</si>
  <si>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</si>
  <si>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</si>
  <si>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</si>
  <si>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</si>
  <si>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</si>
  <si>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</si>
  <si>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</si>
  <si>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</si>
  <si>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</si>
  <si>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</si>
  <si>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</si>
  <si>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</si>
  <si>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</si>
  <si>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</si>
  <si>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</si>
  <si>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</si>
  <si>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</si>
  <si>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</si>
  <si>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</si>
  <si>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</si>
  <si>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</si>
  <si>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</si>
  <si>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</si>
  <si>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</si>
  <si>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</si>
  <si>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</si>
  <si>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</si>
  <si>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</si>
  <si>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</si>
  <si>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</si>
  <si>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</si>
  <si>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</si>
  <si>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</si>
  <si>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</si>
  <si>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</si>
  <si>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</si>
  <si>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</si>
  <si>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</si>
  <si>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</si>
  <si>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</si>
  <si>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</si>
  <si>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</si>
  <si>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</si>
  <si>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</si>
  <si>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</si>
  <si>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</si>
  <si>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</si>
  <si>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</si>
  <si>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</si>
  <si>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</si>
  <si>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</si>
  <si>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</si>
  <si>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</si>
  <si>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</si>
  <si>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</si>
  <si>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</si>
  <si>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</si>
  <si>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</si>
  <si>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</si>
  <si>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</si>
  <si>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</si>
  <si>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</si>
  <si>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</si>
  <si>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</si>
  <si>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</si>
  <si>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</si>
  <si>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</si>
  <si>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</si>
  <si>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</si>
  <si>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</si>
  <si>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</si>
  <si>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</si>
  <si>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</si>
  <si>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</si>
  <si>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</si>
  <si>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</si>
  <si>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</si>
  <si>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</si>
  <si>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</si>
  <si>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</si>
  <si>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</si>
  <si>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</si>
  <si>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</si>
  <si>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</si>
  <si>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</si>
  <si>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</si>
  <si>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</si>
  <si>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</si>
  <si>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</si>
  <si>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</si>
  <si>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</si>
  <si>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</si>
  <si>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</si>
  <si>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</si>
  <si>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</si>
  <si>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</si>
  <si>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</si>
  <si>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</si>
  <si>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</si>
  <si>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</si>
  <si>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</si>
  <si>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</si>
  <si>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</si>
  <si>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</si>
  <si>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</si>
  <si>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</si>
  <si>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</si>
  <si>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</si>
  <si>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</si>
  <si>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</si>
  <si>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</si>
  <si>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</si>
  <si>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</si>
  <si>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</si>
  <si>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</si>
  <si>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</si>
  <si>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</si>
  <si>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</si>
  <si>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</si>
  <si>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</si>
  <si>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</si>
  <si>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</si>
  <si>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</si>
  <si>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</si>
  <si>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</si>
  <si>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</si>
  <si>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</si>
  <si>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</si>
  <si>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</si>
  <si>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</si>
  <si>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</si>
  <si>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</si>
  <si>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</si>
  <si>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</si>
  <si>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</si>
  <si>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</si>
  <si>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</si>
  <si>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</si>
  <si>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</si>
  <si>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</si>
  <si>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</si>
  <si>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</si>
  <si>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</si>
  <si>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</si>
  <si>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</si>
  <si>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</si>
  <si>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</si>
  <si>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</si>
  <si>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</si>
  <si>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</si>
  <si>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</si>
  <si>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</si>
  <si>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</si>
  <si>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</si>
  <si>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</si>
  <si>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</si>
  <si>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</si>
  <si>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</si>
  <si>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</si>
  <si>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</si>
  <si>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</si>
  <si>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</si>
  <si>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</si>
  <si>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</si>
  <si>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</si>
  <si>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</si>
  <si>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</si>
  <si>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</si>
  <si>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</si>
  <si>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</si>
  <si>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</si>
  <si>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</si>
  <si>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</si>
  <si>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</si>
  <si>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</si>
  <si>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</si>
  <si>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</si>
  <si>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</si>
  <si>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</si>
  <si>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</si>
  <si>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</si>
  <si>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</si>
  <si>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</si>
  <si>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</si>
  <si>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</si>
  <si>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</si>
  <si>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</si>
  <si>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</si>
  <si>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</si>
  <si>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</si>
  <si>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</si>
  <si>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</si>
  <si>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</si>
  <si>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</si>
  <si>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</si>
  <si>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</si>
  <si>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</si>
  <si>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</si>
  <si>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</si>
  <si>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</si>
  <si>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</si>
  <si>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</si>
  <si>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</si>
  <si>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</si>
  <si>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</si>
  <si>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</si>
  <si>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</si>
  <si>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</si>
  <si>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</si>
  <si>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</si>
  <si>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</si>
  <si>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</si>
  <si>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</si>
  <si>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</si>
  <si>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</si>
  <si>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</si>
  <si>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</si>
  <si>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</si>
  <si>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</si>
  <si>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</si>
  <si>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</si>
  <si>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</si>
  <si>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</si>
  <si>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</si>
  <si>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</si>
  <si>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</si>
  <si>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</si>
  <si>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</si>
  <si>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</si>
  <si>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</si>
  <si>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</si>
  <si>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</si>
  <si>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</si>
  <si>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</si>
  <si>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</si>
  <si>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</si>
  <si>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</si>
  <si>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</si>
  <si>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</si>
  <si>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</si>
  <si>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</si>
  <si>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</si>
  <si>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</si>
  <si>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</si>
  <si>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</si>
  <si>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</si>
  <si>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</si>
  <si>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</si>
  <si>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</si>
  <si>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</si>
  <si>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</si>
  <si>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</si>
  <si>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</si>
  <si>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</si>
  <si>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</si>
  <si>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</si>
  <si>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</si>
  <si>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</si>
  <si>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</si>
  <si>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</si>
  <si>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</si>
  <si>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</si>
  <si>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</si>
  <si>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</si>
  <si>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</si>
  <si>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</si>
  <si>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</si>
  <si>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</si>
  <si>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</si>
  <si>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</si>
  <si>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</si>
  <si>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</si>
  <si>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</si>
  <si>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</si>
  <si>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</si>
  <si>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</si>
  <si>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</si>
  <si>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</si>
  <si>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</si>
  <si>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</si>
  <si>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</si>
  <si>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</si>
  <si>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</si>
  <si>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</si>
  <si>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</si>
  <si>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</si>
  <si>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</si>
  <si>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</si>
  <si>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</si>
  <si>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</si>
  <si>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</si>
  <si>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</si>
  <si>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</si>
  <si>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</si>
  <si>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</si>
  <si>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</si>
  <si>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</si>
  <si>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</si>
  <si>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</si>
  <si>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</si>
  <si>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</si>
  <si>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</si>
  <si>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</si>
  <si>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</si>
  <si>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</si>
  <si>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</si>
  <si>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</si>
  <si>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</si>
  <si>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</si>
  <si>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</si>
  <si>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</si>
  <si>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</si>
  <si>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</si>
  <si>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</si>
  <si>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</si>
  <si>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</si>
  <si>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</si>
  <si>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</si>
  <si>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</si>
  <si>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</si>
  <si>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</si>
  <si>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</si>
  <si>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</si>
  <si>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</si>
  <si>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</si>
  <si>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</si>
  <si>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</si>
  <si>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</si>
  <si>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</si>
  <si>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</si>
  <si>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</si>
  <si>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</si>
  <si>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</si>
  <si>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</si>
  <si>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</si>
  <si>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</si>
  <si>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</si>
  <si>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</si>
  <si>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</si>
  <si>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</si>
  <si>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</si>
  <si>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</si>
  <si>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</si>
  <si>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</si>
  <si>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</si>
  <si>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</si>
  <si>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</si>
  <si>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</si>
  <si>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</si>
  <si>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</si>
  <si>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</si>
  <si>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</si>
  <si>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</si>
  <si>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</si>
  <si>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</si>
  <si>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</si>
  <si>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</si>
  <si>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</si>
  <si>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</si>
  <si>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</si>
  <si>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</si>
  <si>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</si>
  <si>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</si>
  <si>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</si>
  <si>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</si>
  <si>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</si>
  <si>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</si>
  <si>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</si>
  <si>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</si>
  <si>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</si>
  <si>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</si>
  <si>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</si>
  <si>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</si>
  <si>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</si>
  <si>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</si>
  <si>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</si>
  <si>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</si>
  <si>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</si>
  <si>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</si>
  <si>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</si>
  <si>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</si>
  <si>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</si>
  <si>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</si>
  <si>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</si>
  <si>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</si>
  <si>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</si>
  <si>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</si>
  <si>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</si>
  <si>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</si>
  <si>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</si>
  <si>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</si>
  <si>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</si>
  <si>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</si>
  <si>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</si>
  <si>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</si>
  <si>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</si>
  <si>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</si>
  <si>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</si>
  <si>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</si>
  <si>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</si>
  <si>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</si>
  <si>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</si>
  <si>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</si>
  <si>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</si>
  <si>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</si>
  <si>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</si>
  <si>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</si>
  <si>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</si>
  <si>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</si>
  <si>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</si>
  <si>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</si>
  <si>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</si>
  <si>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</si>
  <si>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</si>
  <si>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</si>
  <si>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</si>
  <si>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</si>
  <si>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</si>
  <si>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</si>
  <si>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</si>
  <si>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</si>
  <si>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</si>
  <si>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</si>
  <si>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</si>
  <si>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</si>
  <si>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</si>
  <si>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</si>
  <si>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</si>
  <si>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</si>
  <si>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</si>
  <si>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</si>
  <si>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</si>
  <si>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</si>
  <si>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</si>
  <si>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</si>
  <si>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</si>
  <si>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</si>
  <si>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</si>
  <si>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</si>
  <si>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</si>
  <si>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</si>
  <si>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</si>
  <si>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</si>
  <si>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</si>
  <si>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</si>
  <si>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</si>
  <si>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</si>
  <si>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</si>
  <si>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</si>
  <si>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</si>
  <si>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</si>
  <si>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</si>
  <si>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</si>
  <si>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</si>
  <si>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</si>
  <si>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</si>
  <si>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</si>
  <si>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</si>
  <si>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</si>
  <si>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</si>
  <si>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</si>
  <si>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</si>
  <si>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</si>
  <si>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</si>
  <si>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</si>
  <si>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</si>
  <si>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</si>
  <si>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</si>
  <si>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</si>
  <si>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</si>
  <si>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</si>
  <si>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</si>
  <si>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</si>
  <si>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</si>
  <si>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</si>
  <si>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</si>
  <si>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</si>
  <si>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</si>
  <si>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</si>
  <si>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</si>
  <si>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</si>
  <si>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</si>
  <si>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</si>
  <si>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</si>
  <si>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</si>
  <si>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</si>
  <si>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</si>
  <si>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</si>
  <si>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</si>
  <si>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</si>
  <si>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</si>
  <si>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</si>
  <si>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</si>
  <si>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</si>
  <si>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</si>
  <si>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</si>
  <si>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</si>
  <si>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</si>
  <si>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</si>
  <si>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</si>
  <si>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</si>
  <si>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</si>
  <si>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</si>
  <si>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</si>
  <si>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</si>
  <si>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</si>
  <si>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</si>
  <si>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</si>
  <si>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</si>
  <si>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</si>
  <si>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</si>
  <si>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</si>
  <si>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</si>
  <si>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</si>
  <si>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</si>
  <si>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</si>
  <si>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</si>
  <si>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</si>
  <si>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</si>
  <si>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</si>
  <si>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</si>
  <si>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</si>
  <si>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</si>
  <si>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</si>
  <si>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</si>
  <si>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</si>
  <si>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</si>
  <si>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</si>
  <si>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</si>
  <si>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</si>
  <si>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</si>
  <si>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</si>
  <si>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</si>
  <si>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</si>
  <si>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</si>
  <si>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</si>
  <si>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</si>
  <si>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</si>
  <si>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</si>
  <si>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</si>
  <si>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</si>
  <si>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</si>
  <si>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</si>
  <si>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</si>
  <si>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</si>
  <si>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</si>
  <si>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</si>
  <si>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</si>
  <si>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</si>
  <si>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</si>
  <si>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</si>
  <si>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</si>
  <si>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</si>
  <si>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</si>
  <si>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</si>
  <si>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</si>
  <si>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</si>
  <si>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</si>
  <si>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</si>
  <si>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</si>
  <si>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</si>
  <si>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</si>
  <si>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</si>
  <si>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</si>
  <si>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</si>
  <si>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</si>
  <si>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</si>
  <si>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</si>
  <si>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</si>
  <si>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</si>
  <si>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</si>
  <si>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</si>
  <si>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</si>
  <si>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</si>
  <si>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</si>
  <si>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</si>
  <si>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</si>
  <si>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</si>
  <si>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</si>
  <si>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</si>
  <si>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</si>
  <si>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</si>
  <si>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</si>
  <si>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</si>
  <si>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</si>
  <si>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</si>
  <si>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</si>
  <si>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</si>
  <si>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</si>
  <si>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</si>
  <si>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</si>
  <si>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</si>
  <si>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</si>
  <si>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</si>
  <si>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</si>
  <si>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</si>
  <si>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</si>
  <si>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</si>
  <si>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</si>
  <si>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</si>
  <si>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</si>
  <si>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</si>
  <si>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</si>
  <si>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</si>
  <si>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</si>
  <si>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</si>
  <si>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</si>
  <si>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</si>
  <si>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</si>
  <si>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</si>
  <si>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</si>
  <si>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</si>
  <si>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</si>
  <si>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</si>
  <si>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</si>
  <si>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</si>
  <si>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</si>
  <si>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</si>
  <si>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</si>
  <si>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</si>
  <si>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</si>
  <si>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</si>
  <si>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</si>
  <si>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</si>
  <si>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</si>
  <si>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</si>
  <si>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</si>
  <si>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</si>
  <si>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</si>
  <si>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</si>
  <si>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</si>
  <si>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</si>
  <si>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</si>
  <si>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</si>
  <si>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</si>
  <si>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</si>
  <si>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</si>
  <si>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</si>
  <si>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</si>
  <si>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</si>
  <si>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</si>
  <si>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</si>
  <si>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</si>
  <si>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</si>
  <si>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</si>
  <si>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</si>
  <si>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</si>
  <si>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</si>
  <si>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</si>
  <si>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</si>
  <si>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</si>
  <si>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</si>
  <si>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</si>
  <si>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</si>
  <si>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</si>
  <si>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</si>
  <si>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</si>
  <si>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</si>
  <si>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</si>
  <si>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</si>
  <si>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</si>
  <si>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</si>
  <si>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</si>
  <si>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</si>
  <si>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</si>
  <si>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</si>
  <si>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</si>
  <si>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</si>
  <si>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</si>
  <si>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</si>
  <si>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</si>
  <si>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</si>
  <si>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</si>
  <si>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</si>
  <si>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</si>
  <si>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</si>
  <si>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</si>
  <si>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</si>
  <si>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</si>
  <si>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</si>
  <si>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</si>
  <si>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</si>
  <si>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</si>
  <si>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</si>
  <si>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</si>
  <si>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</si>
  <si>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</si>
  <si>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</si>
  <si>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</si>
  <si>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</si>
  <si>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</si>
  <si>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</si>
  <si>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</si>
  <si>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</si>
  <si>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</si>
  <si>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</si>
  <si>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</si>
  <si>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</si>
  <si>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</si>
  <si>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</si>
  <si>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</si>
  <si>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</si>
  <si>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</si>
  <si>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</si>
  <si>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</si>
  <si>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</si>
  <si>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</si>
  <si>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</si>
  <si>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</si>
  <si>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</si>
  <si>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</si>
  <si>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</si>
  <si>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</si>
  <si>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</si>
  <si>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</si>
  <si>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</si>
  <si>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</si>
  <si>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</si>
  <si>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</si>
  <si>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</si>
  <si>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</si>
  <si>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</si>
  <si>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</si>
  <si>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</si>
  <si>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</si>
  <si>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</si>
  <si>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</si>
  <si>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</si>
  <si>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</si>
  <si>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</si>
  <si>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</si>
  <si>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</si>
  <si>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</si>
  <si>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</si>
  <si>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</si>
  <si>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</si>
  <si>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</si>
  <si>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</si>
  <si>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</si>
  <si>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</si>
  <si>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</si>
  <si>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</si>
  <si>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</si>
  <si>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</si>
  <si>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</si>
  <si>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</si>
  <si>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</si>
  <si>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</si>
  <si>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</si>
  <si>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</si>
  <si>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</si>
  <si>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</si>
  <si>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</si>
  <si>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</si>
  <si>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</si>
  <si>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</si>
  <si>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</si>
  <si>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</si>
  <si>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</si>
  <si>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</si>
  <si>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</si>
  <si>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</si>
  <si>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</si>
  <si>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</si>
  <si>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</si>
  <si>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</si>
  <si>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</si>
  <si>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</si>
  <si>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</si>
  <si>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</si>
  <si>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</si>
  <si>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</si>
  <si>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</si>
  <si>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</si>
  <si>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</si>
  <si>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</si>
  <si>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</si>
  <si>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</si>
  <si>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</si>
  <si>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</si>
  <si>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</si>
  <si>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</si>
  <si>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</si>
  <si>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</si>
  <si>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</si>
  <si>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</si>
  <si>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</si>
  <si>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</si>
  <si>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</si>
  <si>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</si>
  <si>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</si>
  <si>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</si>
  <si>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</si>
  <si>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</si>
  <si>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</si>
  <si>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</si>
  <si>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</si>
  <si>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</si>
  <si>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</si>
  <si>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</si>
  <si>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</si>
  <si>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</si>
  <si>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</si>
  <si>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</si>
  <si>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</si>
  <si>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</si>
  <si>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</si>
  <si>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</si>
  <si>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</si>
  <si>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</si>
  <si>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</si>
  <si>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</si>
  <si>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</si>
  <si>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</si>
  <si>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</si>
  <si>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</si>
  <si>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</si>
  <si>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</si>
  <si>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</si>
  <si>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</si>
  <si>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</si>
  <si>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</si>
  <si>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</si>
  <si>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</si>
  <si>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</si>
  <si>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</si>
  <si>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</si>
  <si>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</si>
  <si>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</si>
  <si>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</si>
  <si>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</si>
  <si>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</si>
  <si>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</si>
  <si>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</si>
  <si>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</si>
  <si>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</si>
  <si>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</si>
  <si>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</si>
  <si>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</si>
  <si>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</si>
  <si>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</si>
  <si>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</si>
  <si>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</si>
  <si>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</si>
  <si>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</si>
  <si>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</si>
  <si>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</si>
  <si>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</si>
  <si>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</si>
  <si>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</si>
  <si>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</si>
  <si>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</si>
  <si>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</si>
  <si>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</si>
  <si>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</si>
  <si>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</si>
  <si>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</si>
  <si>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</si>
  <si>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</si>
  <si>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</si>
  <si>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</si>
  <si>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</si>
  <si>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</si>
  <si>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</si>
  <si>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</si>
  <si>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</si>
  <si>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</si>
  <si>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</si>
  <si>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</si>
  <si>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</si>
  <si>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</si>
  <si>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</si>
  <si>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</si>
  <si>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</si>
  <si>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</si>
  <si>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</si>
  <si>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</si>
  <si>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</si>
  <si>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</si>
  <si>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</si>
  <si>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</si>
  <si>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</si>
  <si>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</si>
  <si>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</si>
  <si>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</si>
  <si>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</si>
  <si>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</si>
  <si>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</si>
  <si>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</si>
  <si>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</si>
  <si>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</si>
  <si>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</si>
  <si>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</si>
  <si>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</si>
  <si>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</si>
  <si>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</si>
  <si>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</si>
  <si>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</si>
  <si>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</si>
  <si>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</si>
  <si>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</si>
  <si>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</si>
  <si>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</si>
  <si>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</si>
  <si>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</si>
  <si>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</si>
  <si>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</si>
  <si>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</si>
  <si>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</si>
  <si>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</si>
  <si>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</si>
  <si>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</si>
  <si>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</si>
  <si>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</si>
  <si>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</si>
  <si>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</si>
  <si>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</si>
  <si>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</si>
  <si>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</si>
  <si>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</si>
  <si>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</si>
  <si>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</si>
  <si>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</si>
  <si>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</si>
  <si>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</si>
  <si>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</si>
  <si>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</si>
  <si>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</si>
  <si>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</si>
  <si>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</si>
  <si>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</si>
  <si>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</si>
  <si>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</si>
  <si>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</si>
  <si>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</si>
  <si>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</si>
  <si>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</si>
  <si>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</si>
  <si>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</si>
  <si>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</si>
  <si>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</si>
  <si>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</si>
  <si>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</si>
  <si>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</si>
  <si>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</si>
  <si>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</si>
  <si>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</si>
  <si>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</si>
  <si>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</si>
  <si>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</si>
  <si>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</si>
  <si>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</si>
  <si>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</si>
  <si>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</si>
  <si>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</si>
  <si>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</si>
  <si>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</si>
  <si>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</si>
  <si>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</si>
  <si>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</si>
  <si>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</si>
  <si>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</si>
  <si>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</si>
  <si>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</si>
  <si>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</si>
  <si>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</si>
  <si>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</si>
  <si>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</si>
  <si>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</si>
  <si>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</si>
  <si>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</si>
  <si>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</si>
  <si>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</si>
  <si>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</si>
  <si>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</si>
  <si>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</si>
  <si>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</si>
  <si>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</si>
  <si>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</si>
  <si>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</si>
  <si>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</si>
  <si>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</si>
  <si>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</si>
  <si>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</si>
  <si>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</si>
  <si>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</si>
  <si>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</si>
  <si>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</si>
  <si>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</si>
  <si>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</si>
  <si>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</si>
  <si>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</si>
  <si>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</si>
  <si>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</si>
  <si>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</si>
  <si>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</si>
  <si>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</si>
  <si>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</si>
  <si>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</si>
  <si>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</si>
  <si>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</si>
  <si>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</si>
  <si>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</si>
  <si>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</si>
  <si>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</si>
  <si>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</si>
  <si>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</si>
  <si>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</si>
  <si>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</si>
  <si>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</si>
  <si>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</si>
  <si>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</si>
  <si>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</si>
  <si>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</si>
  <si>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</si>
  <si>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</si>
  <si>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</si>
  <si>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</si>
  <si>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</si>
  <si>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</si>
  <si>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</si>
  <si>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</si>
  <si>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</si>
  <si>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</si>
  <si>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</si>
  <si>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</si>
  <si>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</si>
  <si>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</si>
  <si>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</si>
  <si>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</si>
  <si>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</si>
  <si>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</si>
  <si>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</si>
  <si>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</si>
  <si>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</si>
  <si>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</si>
  <si>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</si>
  <si>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</si>
  <si>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</si>
  <si>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</si>
  <si>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</si>
  <si>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</si>
  <si>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</si>
  <si>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</si>
  <si>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</si>
  <si>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</si>
  <si>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</si>
  <si>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</si>
  <si>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</si>
  <si>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</si>
  <si>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</si>
  <si>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</si>
  <si>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</si>
  <si>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</si>
  <si>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</si>
  <si>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</si>
  <si>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</si>
  <si>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</si>
  <si>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</si>
  <si>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</si>
  <si>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</si>
  <si>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</si>
  <si>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</si>
  <si>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</si>
  <si>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</si>
  <si>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</si>
  <si>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</si>
  <si>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</si>
  <si>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</si>
  <si>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</si>
  <si>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</si>
  <si>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</si>
  <si>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</si>
  <si>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</si>
  <si>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</si>
  <si>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</si>
  <si>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</si>
  <si>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</si>
  <si>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</si>
  <si>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</si>
  <si>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</si>
  <si>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</si>
  <si>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</si>
  <si>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</si>
  <si>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</si>
  <si>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</si>
  <si>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</si>
  <si>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</si>
  <si>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</si>
  <si>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</si>
  <si>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</si>
  <si>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</si>
  <si>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</si>
  <si>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</si>
  <si>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</si>
  <si>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</si>
  <si>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</si>
  <si>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</si>
  <si>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</si>
  <si>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</si>
  <si>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</si>
  <si>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</si>
  <si>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</si>
  <si>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</si>
  <si>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</si>
  <si>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</si>
  <si>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</si>
  <si>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</si>
  <si>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</si>
  <si>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</si>
  <si>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</si>
  <si>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</si>
  <si>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</si>
  <si>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</si>
  <si>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</si>
  <si>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</si>
  <si>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</si>
  <si>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</si>
  <si>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</si>
  <si>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</si>
  <si>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</si>
  <si>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</si>
  <si>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</si>
  <si>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</si>
  <si>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</si>
  <si>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</si>
  <si>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</si>
  <si>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</si>
  <si>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</si>
  <si>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</si>
  <si>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</si>
  <si>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</si>
  <si>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</si>
  <si>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</si>
  <si>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</si>
  <si>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</si>
  <si>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</si>
  <si>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</si>
  <si>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</si>
  <si>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</si>
  <si>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</si>
  <si>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</si>
  <si>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</si>
  <si>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</si>
  <si>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</si>
  <si>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</si>
  <si>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</si>
  <si>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</si>
  <si>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</si>
  <si>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</si>
  <si>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</si>
  <si>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</si>
  <si>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</si>
  <si>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</si>
  <si>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</si>
  <si>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</si>
  <si>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</si>
  <si>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</si>
  <si>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</si>
  <si>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</si>
  <si>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</si>
  <si>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</si>
  <si>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</si>
  <si>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</si>
  <si>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</si>
  <si>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</si>
  <si>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</si>
  <si>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</si>
  <si>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</si>
  <si>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</si>
  <si>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</si>
  <si>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</si>
  <si>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</si>
  <si>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</si>
  <si>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</si>
  <si>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</si>
  <si>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</si>
  <si>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</si>
  <si>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</si>
  <si>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</si>
  <si>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</si>
  <si>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</si>
  <si>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</si>
  <si>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</si>
  <si>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</si>
  <si>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</si>
  <si>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</si>
  <si>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</si>
  <si>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</si>
  <si>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</si>
  <si>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</si>
  <si>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</si>
  <si>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</si>
  <si>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</si>
  <si>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</si>
  <si>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</si>
  <si>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</si>
  <si>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</si>
  <si>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</si>
  <si>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</si>
  <si>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</si>
  <si>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</si>
  <si>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</si>
  <si>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</si>
  <si>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</si>
  <si>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</si>
  <si>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</si>
  <si>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</si>
  <si>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</si>
  <si>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</si>
  <si>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</si>
  <si>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</si>
  <si>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</si>
  <si>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</si>
  <si>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</si>
  <si>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</si>
  <si>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</si>
  <si>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</si>
  <si>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</si>
  <si>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</si>
  <si>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</si>
  <si>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</si>
  <si>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</si>
  <si>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</si>
  <si>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</si>
  <si>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</si>
  <si>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</si>
  <si>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</si>
  <si>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</si>
  <si>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</si>
  <si>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</si>
  <si>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</si>
  <si>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</si>
  <si>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</si>
  <si>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</si>
  <si>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</si>
  <si>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</si>
  <si>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</si>
  <si>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</si>
  <si>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</si>
  <si>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</si>
  <si>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</si>
  <si>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</si>
  <si>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</si>
  <si>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</si>
  <si>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</si>
  <si>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</si>
  <si>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</si>
  <si>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</si>
  <si>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</si>
  <si>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</si>
  <si>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</si>
  <si>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</si>
  <si>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</si>
  <si>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</si>
  <si>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</si>
  <si>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</si>
  <si>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</si>
  <si>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</si>
  <si>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</si>
  <si>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</si>
  <si>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</si>
  <si>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</si>
  <si>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</si>
  <si>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</si>
  <si>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</si>
  <si>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</si>
  <si>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</si>
  <si>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</si>
  <si>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</si>
  <si>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</si>
  <si>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</si>
  <si>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</si>
  <si>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</si>
  <si>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</si>
  <si>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</si>
  <si>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</si>
  <si>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</si>
  <si>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</si>
  <si>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</si>
  <si>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</si>
  <si>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</si>
  <si>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</si>
  <si>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</si>
  <si>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</si>
  <si>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</si>
  <si>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</si>
  <si>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</si>
  <si>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</si>
  <si>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</si>
  <si>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</si>
  <si>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</si>
  <si>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</si>
  <si>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</si>
  <si>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</si>
  <si>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</si>
  <si>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</si>
  <si>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</si>
  <si>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</si>
  <si>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</si>
  <si>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</si>
  <si>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</si>
  <si>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</si>
  <si>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</si>
  <si>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</si>
  <si>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</si>
  <si>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</si>
  <si>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</si>
  <si>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</si>
  <si>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</si>
  <si>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</si>
  <si>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</si>
  <si>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</si>
  <si>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</si>
  <si>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</si>
  <si>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</si>
  <si>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</si>
  <si>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</si>
  <si>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</si>
  <si>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</si>
  <si>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</si>
  <si>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</si>
  <si>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</si>
  <si>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</si>
  <si>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</si>
  <si>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</si>
  <si>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</si>
  <si>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</si>
  <si>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</si>
  <si>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</si>
  <si>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</si>
  <si>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</si>
  <si>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</si>
  <si>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</si>
  <si>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</si>
  <si>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</si>
  <si>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</si>
  <si>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</si>
  <si>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</si>
  <si>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</si>
  <si>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</si>
  <si>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</si>
  <si>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</si>
  <si>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</si>
  <si>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</si>
  <si>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</si>
  <si>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</si>
  <si>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</si>
  <si>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</si>
  <si>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</si>
  <si>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</si>
  <si>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</si>
  <si>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</si>
  <si>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</si>
  <si>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</si>
  <si>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</si>
  <si>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</si>
  <si>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</si>
  <si>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</si>
  <si>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</si>
  <si>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</si>
  <si>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</si>
  <si>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</si>
  <si>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</si>
  <si>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</si>
  <si>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</si>
  <si>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</si>
  <si>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</si>
  <si>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</si>
  <si>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</si>
  <si>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</si>
  <si>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</si>
  <si>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</si>
  <si>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</si>
  <si>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</si>
  <si>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</si>
  <si>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</si>
  <si>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</si>
  <si>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</si>
  <si>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</si>
  <si>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</si>
  <si>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</si>
  <si>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</si>
  <si>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</si>
  <si>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</si>
  <si>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</si>
  <si>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</si>
  <si>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</si>
  <si>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</si>
  <si>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</si>
  <si>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</si>
  <si>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</si>
  <si>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</si>
  <si>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</si>
  <si>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</si>
  <si>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</si>
  <si>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</si>
  <si>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</si>
  <si>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</si>
  <si>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</si>
  <si>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</si>
  <si>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</si>
  <si>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</si>
  <si>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</si>
  <si>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</si>
  <si>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</si>
  <si>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</si>
  <si>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</si>
  <si>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</si>
  <si>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</si>
  <si>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</si>
  <si>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</si>
  <si>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</si>
  <si>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</si>
  <si>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</si>
  <si>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</si>
  <si>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</si>
  <si>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</si>
  <si>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</si>
  <si>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</si>
  <si>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</si>
  <si>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</si>
  <si>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</si>
  <si>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</si>
  <si>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</si>
  <si>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</si>
  <si>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</si>
  <si>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</si>
  <si>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</si>
  <si>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</si>
  <si>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</si>
  <si>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</si>
  <si>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</si>
  <si>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</si>
  <si>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</si>
  <si>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</si>
  <si>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</si>
  <si>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</si>
  <si>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</si>
  <si>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</si>
  <si>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</si>
  <si>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</si>
  <si>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</si>
  <si>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</si>
  <si>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</si>
  <si>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</si>
  <si>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</si>
  <si>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</si>
  <si>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</si>
  <si>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</si>
  <si>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</si>
  <si>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</si>
  <si>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</si>
  <si>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</si>
  <si>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</si>
  <si>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</si>
  <si>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</si>
  <si>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</si>
  <si>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</si>
  <si>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</si>
  <si>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</si>
  <si>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</si>
  <si>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</si>
  <si>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</si>
  <si>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</si>
  <si>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</si>
  <si>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</si>
  <si>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</si>
  <si>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</si>
  <si>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</si>
  <si>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</si>
  <si>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</si>
  <si>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</si>
  <si>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</si>
  <si>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</si>
  <si>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</si>
  <si>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</si>
  <si>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</si>
  <si>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</si>
  <si>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</si>
  <si>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</si>
  <si>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</si>
  <si>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</si>
  <si>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</si>
  <si>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</si>
  <si>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</si>
  <si>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</si>
  <si>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</si>
  <si>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</si>
  <si>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</si>
  <si>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</si>
  <si>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</si>
  <si>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</si>
  <si>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</si>
  <si>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</si>
  <si>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</si>
  <si>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</si>
  <si>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</si>
  <si>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</si>
  <si>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</si>
  <si>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</si>
  <si>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</si>
  <si>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</si>
  <si>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</si>
  <si>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</si>
  <si>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</si>
  <si>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</si>
  <si>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</si>
  <si>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</si>
  <si>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</si>
  <si>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</si>
  <si>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</si>
  <si>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</si>
  <si>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</si>
  <si>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</si>
  <si>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</si>
  <si>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</si>
  <si>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</si>
  <si>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</si>
  <si>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</si>
  <si>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</si>
  <si>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</si>
  <si>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</si>
  <si>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</si>
  <si>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</si>
  <si>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</si>
  <si>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</si>
  <si>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</si>
  <si>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</si>
  <si>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</si>
  <si>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</si>
  <si>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</si>
  <si>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</si>
  <si>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</si>
  <si>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</si>
  <si>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</si>
  <si>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</si>
  <si>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</si>
  <si>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</si>
  <si>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</si>
  <si>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</si>
  <si>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</si>
  <si>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</si>
  <si>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</si>
  <si>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</si>
  <si>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</si>
  <si>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</si>
  <si>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</si>
  <si>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</si>
  <si>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</si>
  <si>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</si>
  <si>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</si>
  <si>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</si>
  <si>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</si>
  <si>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</si>
  <si>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</si>
  <si>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</si>
  <si>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</si>
  <si>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</si>
  <si>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</si>
  <si>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</si>
  <si>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</si>
  <si>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</si>
  <si>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</si>
  <si>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</si>
  <si>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</si>
  <si>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</si>
  <si>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</si>
  <si>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</si>
  <si>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</si>
  <si>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</si>
  <si>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</si>
  <si>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</si>
  <si>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</si>
  <si>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</si>
  <si>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</si>
  <si>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</si>
  <si>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</si>
  <si>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</si>
  <si>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</si>
  <si>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</si>
  <si>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</si>
  <si>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</si>
  <si>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</si>
  <si>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</si>
  <si>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</si>
  <si>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</si>
  <si>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</si>
  <si>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</si>
  <si>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</si>
  <si>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</si>
  <si>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</si>
  <si>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</si>
  <si>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</si>
  <si>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</si>
  <si>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</si>
  <si>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</si>
  <si>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</si>
  <si>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</si>
  <si>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</si>
  <si>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</si>
  <si>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</si>
  <si>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</si>
  <si>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</si>
  <si>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</si>
  <si>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</si>
  <si>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</si>
  <si>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</si>
  <si>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</si>
  <si>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</si>
  <si>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</si>
  <si>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</si>
  <si>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</si>
  <si>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</si>
  <si>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</si>
  <si>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</si>
  <si>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</si>
  <si>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</si>
  <si>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</si>
  <si>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</si>
  <si>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</si>
  <si>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</si>
  <si>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</si>
  <si>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</si>
  <si>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</si>
  <si>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</si>
  <si>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</si>
  <si>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</si>
  <si>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</si>
  <si>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</si>
  <si>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</si>
  <si>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</si>
  <si>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</si>
  <si>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</si>
  <si>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</si>
  <si>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</si>
  <si>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</si>
  <si>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</si>
  <si>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</si>
  <si>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</si>
  <si>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</si>
  <si>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</si>
  <si>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</si>
  <si>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</si>
  <si>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</si>
  <si>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</si>
  <si>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</si>
  <si>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</si>
  <si>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</si>
  <si>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</si>
  <si>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</si>
  <si>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</si>
  <si>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</si>
  <si>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</si>
  <si>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</si>
  <si>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</si>
  <si>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</si>
  <si>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</si>
  <si>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</si>
  <si>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</si>
  <si>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</si>
  <si>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</si>
  <si>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</si>
  <si>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</si>
  <si>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</si>
  <si>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</si>
  <si>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</si>
  <si>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</si>
  <si>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</si>
  <si>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</si>
  <si>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</si>
  <si>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</si>
  <si>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</si>
  <si>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</si>
  <si>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</si>
  <si>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</si>
  <si>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</si>
  <si>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</si>
  <si>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</si>
  <si>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</si>
  <si>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</si>
  <si>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</si>
  <si>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</si>
  <si>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</si>
  <si>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</si>
  <si>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</si>
  <si>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</si>
  <si>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</si>
  <si>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</si>
  <si>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</si>
  <si>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</si>
  <si>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</si>
  <si>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</si>
  <si>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</si>
  <si>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</si>
  <si>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</si>
  <si>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</si>
  <si>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</si>
  <si>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</si>
  <si>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</si>
  <si>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</si>
  <si>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</si>
  <si>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</si>
  <si>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</si>
  <si>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</si>
  <si>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</si>
  <si>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</si>
  <si>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</si>
  <si>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</si>
  <si>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</si>
  <si>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</si>
  <si>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</si>
  <si>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</si>
  <si>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</si>
  <si>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</si>
  <si>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</si>
  <si>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</si>
  <si>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</si>
  <si>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</si>
  <si>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</si>
  <si>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</si>
  <si>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</si>
  <si>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</si>
  <si>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</si>
  <si>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</si>
  <si>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</si>
  <si>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</si>
  <si>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</si>
  <si>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</si>
  <si>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</si>
  <si>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</si>
  <si>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</si>
  <si>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</si>
  <si>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</si>
  <si>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</si>
  <si>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</si>
  <si>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</si>
  <si>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</si>
  <si>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</si>
  <si>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</si>
  <si>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</si>
  <si>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</si>
  <si>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</si>
  <si>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</si>
  <si>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</si>
  <si>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</si>
  <si>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</si>
  <si>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</si>
  <si>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</si>
  <si>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</si>
  <si>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</si>
  <si>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</si>
  <si>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</si>
  <si>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</si>
  <si>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</si>
  <si>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</si>
  <si>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</si>
  <si>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</si>
  <si>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</si>
  <si>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</si>
  <si>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</si>
  <si>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</si>
  <si>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</si>
  <si>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</si>
  <si>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</si>
  <si>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</si>
  <si>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</si>
  <si>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</si>
  <si>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</si>
  <si>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</si>
  <si>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</si>
  <si>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</si>
  <si>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</si>
  <si>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</si>
  <si>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</si>
  <si>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</si>
  <si>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</si>
  <si>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</si>
  <si>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</si>
  <si>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</si>
  <si>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</si>
  <si>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</si>
  <si>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</si>
  <si>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</si>
  <si>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</si>
  <si>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</si>
  <si>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</si>
  <si>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</si>
  <si>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</si>
  <si>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</si>
  <si>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</si>
  <si>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</si>
  <si>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</si>
  <si>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</si>
  <si>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</si>
  <si>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</si>
  <si>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</si>
  <si>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</si>
  <si>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</si>
  <si>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</si>
  <si>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</si>
  <si>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</si>
  <si>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</si>
  <si>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</si>
  <si>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</si>
  <si>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</si>
  <si>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</si>
  <si>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</si>
  <si>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</si>
  <si>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</si>
  <si>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</si>
  <si>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</si>
  <si>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</si>
  <si>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</si>
  <si>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</si>
  <si>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</si>
  <si>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</si>
  <si>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</si>
  <si>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</si>
  <si>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</si>
  <si>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</si>
  <si>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</si>
  <si>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</si>
  <si>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</si>
  <si>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</si>
  <si>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</si>
  <si>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</si>
  <si>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</si>
  <si>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</si>
  <si>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</si>
  <si>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</si>
  <si>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</si>
  <si>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</si>
  <si>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</si>
  <si>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</si>
  <si>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</si>
  <si>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</si>
  <si>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</si>
  <si>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</si>
  <si>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</si>
  <si>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</si>
  <si>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</si>
  <si>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</si>
  <si>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</si>
  <si>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</si>
  <si>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</si>
  <si>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</si>
  <si>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</si>
  <si>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</si>
  <si>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</si>
  <si>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</si>
  <si>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</si>
  <si>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</si>
  <si>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</si>
  <si>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</si>
  <si>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</si>
  <si>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</si>
  <si>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</si>
  <si>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</si>
  <si>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</si>
  <si>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</si>
  <si>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</si>
  <si>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</si>
  <si>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</si>
  <si>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</si>
  <si>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</si>
  <si>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</si>
  <si>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</si>
  <si>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</si>
  <si>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</si>
  <si>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</si>
  <si>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</si>
  <si>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</si>
  <si>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</si>
  <si>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</si>
  <si>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</si>
  <si>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</si>
  <si>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</si>
  <si>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</si>
  <si>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</si>
  <si>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</si>
  <si>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</si>
  <si>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</si>
  <si>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</si>
  <si>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</si>
  <si>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</si>
  <si>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</si>
  <si>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</si>
  <si>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</si>
  <si>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</si>
  <si>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</si>
  <si>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</si>
  <si>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</si>
  <si>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</si>
  <si>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</si>
  <si>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</si>
  <si>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</si>
  <si>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</si>
  <si>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</si>
  <si>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</si>
  <si>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</si>
  <si>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</si>
  <si>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</si>
  <si>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</si>
  <si>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</si>
  <si>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</si>
  <si>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</si>
  <si>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</si>
  <si>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</si>
  <si>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</si>
  <si>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</si>
  <si>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</si>
  <si>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</si>
  <si>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</si>
  <si>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</si>
  <si>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</si>
  <si>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</si>
  <si>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</si>
  <si>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</si>
  <si>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</si>
  <si>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</si>
  <si>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</si>
  <si>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</si>
  <si>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</si>
  <si>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</si>
  <si>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</si>
  <si>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</si>
  <si>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</si>
  <si>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</si>
  <si>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</si>
  <si>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</si>
  <si>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</si>
  <si>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</si>
  <si>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</si>
  <si>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</si>
  <si>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</si>
  <si>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</si>
  <si>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</si>
  <si>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</si>
  <si>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</si>
  <si>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</si>
  <si>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</si>
  <si>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</si>
  <si>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</si>
  <si>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</si>
  <si>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</si>
  <si>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</si>
  <si>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</si>
  <si>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</si>
  <si>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</si>
  <si>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</si>
  <si>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</si>
  <si>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</si>
  <si>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</si>
  <si>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</si>
  <si>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</si>
  <si>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</si>
  <si>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</si>
  <si>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</si>
  <si>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</si>
  <si>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</si>
  <si>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</si>
  <si>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</si>
  <si>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</si>
  <si>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</si>
  <si>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</si>
  <si>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</si>
  <si>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</si>
  <si>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</si>
  <si>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</si>
  <si>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</si>
  <si>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</si>
  <si>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</si>
  <si>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</si>
  <si>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</si>
  <si>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</si>
  <si>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</si>
  <si>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</si>
  <si>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</si>
  <si>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</si>
  <si>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</si>
  <si>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</si>
  <si>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</si>
  <si>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</si>
  <si>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</si>
  <si>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</si>
  <si>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</si>
  <si>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</si>
  <si>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</si>
  <si>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</si>
  <si>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</si>
  <si>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</si>
  <si>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</si>
  <si>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</si>
  <si>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</si>
  <si>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</si>
  <si>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</si>
  <si>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</si>
  <si>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</si>
  <si>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</si>
  <si>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</si>
  <si>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</si>
  <si>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</si>
  <si>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</si>
  <si>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</si>
  <si>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</si>
  <si>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</si>
  <si>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</si>
  <si>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</si>
  <si>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</si>
  <si>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</si>
  <si>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</si>
  <si>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</si>
  <si>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</si>
  <si>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</si>
  <si>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</si>
  <si>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</si>
  <si>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</si>
  <si>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</si>
  <si>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</si>
  <si>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</si>
  <si>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</si>
  <si>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</si>
  <si>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</si>
  <si>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</si>
  <si>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</si>
  <si>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</si>
  <si>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</si>
  <si>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</si>
  <si>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</si>
  <si>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</si>
  <si>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</si>
  <si>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</si>
  <si>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</si>
  <si>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</si>
  <si>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</si>
  <si>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</si>
  <si>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</si>
  <si>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</si>
  <si>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</si>
  <si>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</si>
  <si>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</si>
  <si>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</si>
  <si>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</si>
  <si>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</si>
  <si>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</si>
  <si>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</si>
  <si>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</si>
  <si>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</si>
  <si>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</si>
  <si>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</si>
  <si>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</si>
  <si>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</si>
  <si>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</si>
  <si>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</si>
  <si>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</si>
  <si>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</si>
  <si>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</si>
  <si>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</si>
  <si>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</si>
  <si>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</si>
  <si>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</si>
  <si>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</si>
  <si>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</si>
  <si>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</si>
  <si>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</si>
  <si>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</si>
  <si>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</si>
  <si>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</si>
  <si>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</si>
  <si>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</si>
  <si>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</si>
  <si>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</si>
  <si>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</si>
  <si>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</si>
  <si>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</si>
  <si>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</si>
  <si>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</si>
  <si>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</si>
  <si>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</si>
  <si>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</si>
  <si>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</si>
  <si>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</si>
  <si>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</si>
  <si>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</si>
  <si>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</si>
  <si>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</si>
  <si>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</si>
  <si>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</si>
  <si>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</si>
  <si>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</si>
  <si>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</si>
  <si>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</si>
  <si>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</si>
  <si>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</si>
  <si>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</si>
  <si>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</si>
  <si>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</si>
  <si>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</si>
  <si>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</si>
  <si>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</si>
  <si>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</si>
  <si>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</si>
  <si>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</si>
  <si>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</si>
  <si>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</si>
  <si>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</si>
  <si>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</si>
  <si>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</si>
  <si>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</si>
  <si>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</si>
  <si>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</si>
  <si>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</si>
  <si>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</si>
  <si>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</si>
  <si>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</si>
  <si>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</si>
  <si>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</si>
  <si>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</si>
  <si>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</si>
  <si>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</si>
  <si>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</si>
  <si>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</si>
  <si>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</si>
  <si>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</si>
  <si>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</si>
  <si>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</si>
  <si>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</si>
  <si>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</si>
  <si>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</si>
  <si>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</si>
  <si>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</si>
  <si>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</si>
  <si>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</si>
  <si>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</si>
  <si>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</si>
  <si>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</si>
  <si>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</si>
  <si>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</si>
  <si>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</si>
  <si>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</si>
  <si>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</si>
  <si>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</si>
  <si>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</si>
  <si>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</si>
  <si>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</si>
  <si>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</si>
  <si>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</si>
  <si>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</si>
  <si>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</si>
  <si>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</si>
  <si>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</si>
  <si>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</si>
  <si>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</si>
  <si>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</si>
  <si>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</si>
  <si>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</si>
  <si>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</si>
  <si>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</si>
  <si>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</si>
  <si>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</si>
  <si>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</si>
  <si>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</si>
  <si>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</si>
  <si>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</si>
  <si>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</si>
  <si>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</si>
  <si>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</si>
  <si>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</si>
  <si>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</si>
  <si>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</si>
  <si>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</si>
  <si>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</si>
  <si>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</si>
  <si>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</si>
  <si>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</si>
  <si>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</si>
  <si>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</si>
  <si>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</si>
  <si>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</si>
  <si>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</si>
  <si>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</si>
  <si>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</si>
  <si>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</si>
  <si>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</si>
  <si>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</si>
  <si>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</si>
  <si>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</si>
  <si>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</si>
  <si>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</si>
  <si>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</si>
  <si>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</si>
  <si>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</si>
  <si>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</si>
  <si>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</si>
  <si>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</si>
  <si>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</si>
  <si>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</si>
  <si>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</si>
  <si>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</si>
  <si>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</si>
  <si>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</si>
  <si>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</si>
  <si>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</si>
  <si>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</si>
  <si>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</si>
  <si>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</si>
  <si>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</si>
  <si>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</si>
  <si>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</si>
  <si>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</si>
  <si>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</si>
  <si>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</si>
  <si>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</si>
  <si>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</si>
  <si>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</si>
  <si>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</si>
  <si>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</si>
  <si>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</si>
  <si>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</si>
  <si>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</si>
  <si>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</si>
  <si>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</si>
  <si>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</si>
  <si>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</si>
  <si>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</si>
  <si>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</si>
  <si>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</si>
  <si>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</si>
  <si>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</si>
  <si>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</si>
  <si>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</si>
  <si>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</si>
  <si>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</si>
  <si>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</si>
  <si>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</si>
  <si>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</si>
  <si>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</si>
  <si>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</si>
  <si>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</si>
  <si>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</si>
  <si>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</si>
  <si>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</si>
  <si>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</si>
  <si>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</si>
  <si>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</si>
  <si>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</si>
  <si>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</si>
  <si>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</si>
  <si>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</si>
  <si>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</si>
  <si>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</si>
  <si>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</si>
  <si>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</si>
  <si>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</si>
  <si>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</si>
  <si>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</si>
  <si>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</si>
  <si>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</si>
  <si>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</si>
  <si>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</si>
  <si>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</si>
  <si>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</si>
  <si>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</si>
  <si>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</si>
  <si>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</si>
  <si>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</si>
  <si>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</si>
  <si>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</si>
  <si>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</si>
  <si>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</si>
  <si>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</si>
  <si>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</si>
  <si>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</si>
  <si>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</si>
  <si>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</si>
  <si>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</si>
  <si>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</si>
  <si>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</si>
  <si>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</si>
  <si>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</si>
  <si>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</si>
  <si>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</si>
  <si>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</si>
  <si>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</si>
  <si>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</si>
  <si>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</si>
  <si>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</si>
  <si>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</si>
  <si>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</si>
  <si>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</si>
  <si>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</si>
  <si>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</si>
  <si>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</si>
  <si>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</si>
  <si>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</si>
  <si>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</si>
  <si>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</si>
  <si>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</si>
  <si>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</si>
  <si>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</si>
  <si>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</si>
  <si>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</si>
  <si>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</si>
  <si>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</si>
  <si>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</si>
  <si>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</si>
  <si>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</si>
  <si>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</si>
  <si>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</si>
  <si>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</si>
  <si>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</si>
  <si>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</si>
  <si>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</si>
  <si>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</si>
  <si>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</si>
  <si>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</si>
  <si>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</si>
  <si>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</si>
  <si>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</si>
  <si>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</si>
  <si>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</si>
  <si>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</si>
  <si>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</si>
  <si>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</si>
  <si>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</si>
  <si>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</si>
  <si>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</si>
  <si>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</si>
  <si>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</si>
  <si>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</si>
  <si>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</si>
  <si>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</si>
  <si>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</si>
  <si>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</si>
  <si>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</si>
  <si>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</si>
  <si>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</si>
  <si>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</si>
  <si>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</si>
  <si>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</si>
  <si>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</si>
  <si>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</si>
  <si>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</si>
  <si>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</si>
  <si>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</si>
  <si>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</si>
  <si>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</si>
  <si>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</si>
  <si>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</si>
  <si>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</si>
  <si>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</si>
  <si>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</si>
  <si>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</si>
  <si>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</si>
  <si>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</si>
  <si>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</si>
  <si>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</si>
  <si>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</si>
  <si>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</si>
  <si>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</si>
  <si>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</si>
  <si>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</si>
  <si>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</si>
  <si>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</si>
  <si>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</si>
  <si>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</si>
  <si>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</si>
  <si>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</si>
  <si>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</si>
  <si>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</si>
  <si>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</si>
  <si>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</si>
  <si>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</si>
  <si>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</si>
  <si>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</si>
  <si>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</si>
  <si>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</si>
  <si>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</si>
  <si>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</si>
  <si>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</si>
  <si>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</si>
  <si>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</si>
  <si>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</si>
  <si>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</si>
  <si>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</si>
  <si>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</si>
  <si>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</si>
  <si>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</si>
  <si>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</si>
  <si>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</si>
  <si>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</si>
  <si>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</si>
  <si>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</si>
  <si>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</si>
  <si>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</si>
  <si>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</si>
  <si>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</si>
  <si>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</si>
  <si>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</si>
  <si>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</si>
  <si>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</si>
  <si>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</si>
  <si>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</si>
  <si>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</si>
  <si>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</si>
  <si>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</si>
  <si>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</si>
  <si>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</si>
  <si>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</si>
  <si>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</si>
  <si>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</si>
  <si>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</si>
  <si>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</si>
  <si>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</si>
  <si>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</si>
  <si>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</si>
  <si>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</si>
  <si>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</si>
  <si>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</si>
  <si>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</si>
  <si>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</si>
  <si>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</si>
  <si>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</si>
  <si>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</si>
  <si>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</si>
  <si>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</si>
  <si>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</si>
  <si>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</si>
  <si>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</si>
  <si>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</si>
  <si>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</si>
  <si>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</si>
  <si>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</si>
  <si>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</si>
  <si>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</si>
  <si>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</si>
  <si>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</si>
  <si>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</si>
  <si>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</si>
  <si>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</si>
  <si>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</si>
  <si>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</si>
  <si>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</si>
  <si>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</si>
  <si>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</si>
  <si>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</si>
  <si>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</si>
  <si>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</si>
  <si>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</si>
  <si>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</si>
  <si>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</si>
  <si>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</si>
  <si>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</si>
  <si>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</si>
  <si>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</si>
  <si>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</si>
  <si>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</si>
  <si>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</si>
  <si>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</si>
  <si>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</si>
  <si>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</si>
  <si>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</si>
  <si>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</si>
  <si>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</si>
  <si>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</si>
  <si>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</si>
  <si>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</si>
  <si>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</si>
  <si>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</si>
  <si>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</si>
  <si>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</si>
  <si>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</si>
  <si>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</si>
  <si>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</si>
  <si>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</si>
  <si>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</si>
  <si>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</si>
  <si>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</si>
  <si>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</si>
  <si>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</si>
  <si>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</si>
  <si>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</si>
  <si>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</si>
  <si>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</si>
  <si>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</si>
  <si>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</si>
  <si>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</si>
  <si>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</si>
  <si>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</si>
  <si>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</si>
  <si>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</si>
  <si>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</si>
  <si>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</si>
  <si>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</si>
  <si>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</si>
  <si>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</si>
  <si>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</si>
  <si>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</si>
  <si>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</si>
  <si>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</si>
  <si>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</si>
  <si>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</si>
  <si>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</si>
  <si>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</si>
  <si>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</si>
  <si>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</si>
  <si>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</si>
  <si>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</si>
  <si>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</si>
  <si>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</si>
  <si>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</si>
  <si>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</si>
  <si>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</si>
  <si>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</si>
  <si>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</si>
  <si>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</si>
  <si>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</si>
  <si>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</si>
  <si>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</si>
  <si>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</si>
  <si>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</si>
  <si>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</si>
  <si>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</si>
  <si>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</si>
  <si>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</si>
  <si>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</si>
  <si>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</si>
  <si>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</si>
  <si>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</si>
  <si>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</si>
  <si>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</si>
  <si>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</si>
  <si>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</si>
  <si>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</si>
  <si>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</si>
  <si>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</si>
  <si>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</si>
  <si>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</si>
  <si>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</si>
  <si>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</si>
  <si>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</si>
  <si>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</si>
  <si>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</si>
  <si>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</si>
  <si>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</si>
  <si>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</si>
  <si>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</si>
  <si>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</si>
  <si>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</si>
  <si>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</si>
  <si>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</si>
  <si>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</si>
  <si>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</si>
  <si>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</si>
  <si>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</si>
  <si>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</si>
  <si>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</si>
  <si>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</si>
  <si>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</si>
  <si>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</si>
  <si>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</si>
  <si>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</si>
  <si>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</si>
  <si>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</si>
  <si>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</si>
  <si>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</si>
  <si>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</si>
  <si>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</si>
  <si>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</si>
  <si>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</si>
  <si>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</si>
  <si>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</si>
  <si>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</si>
  <si>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</si>
  <si>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</si>
  <si>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</si>
  <si>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</si>
  <si>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</si>
  <si>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</si>
  <si>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</si>
  <si>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</si>
  <si>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</si>
  <si>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</si>
  <si>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</si>
  <si>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</si>
  <si>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</si>
  <si>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</si>
  <si>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</si>
  <si>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</si>
  <si>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</si>
  <si>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</si>
  <si>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</si>
  <si>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</si>
  <si>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</si>
  <si>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</si>
  <si>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</si>
  <si>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</si>
  <si>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</si>
  <si>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</si>
  <si>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</si>
  <si>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</si>
  <si>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</si>
  <si>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</si>
  <si>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</si>
  <si>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</si>
  <si>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</si>
  <si>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</si>
  <si>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</si>
  <si>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</si>
  <si>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</si>
  <si>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</si>
  <si>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</si>
  <si>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</si>
  <si>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</si>
  <si>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</si>
  <si>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</si>
  <si>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</si>
  <si>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</si>
  <si>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</si>
  <si>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</si>
  <si>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</si>
  <si>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</si>
  <si>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</si>
  <si>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</si>
  <si>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</si>
  <si>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</si>
  <si>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</si>
  <si>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</si>
  <si>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</si>
  <si>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</si>
  <si>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</si>
  <si>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</si>
  <si>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</si>
  <si>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</si>
  <si>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</si>
  <si>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</si>
  <si>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</si>
  <si>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</si>
  <si>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</si>
  <si>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</si>
  <si>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</si>
  <si>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</si>
  <si>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</si>
  <si>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</si>
  <si>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</si>
  <si>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</si>
  <si>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</si>
  <si>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</si>
  <si>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</si>
  <si>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</si>
  <si>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</si>
  <si>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</si>
  <si>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</si>
  <si>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</si>
  <si>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</si>
  <si>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</si>
  <si>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</si>
  <si>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</si>
  <si>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</si>
  <si>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</si>
  <si>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</si>
  <si>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</si>
  <si>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</si>
  <si>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</si>
  <si>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</si>
  <si>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</si>
  <si>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</si>
  <si>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</si>
  <si>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</si>
  <si>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</si>
  <si>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</si>
  <si>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</si>
  <si>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</si>
  <si>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</si>
  <si>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</si>
  <si>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</si>
  <si>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</si>
  <si>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</si>
  <si>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</si>
  <si>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</si>
  <si>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</si>
  <si>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</si>
  <si>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</si>
  <si>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</si>
  <si>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</si>
  <si>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</si>
  <si>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</si>
  <si>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</si>
  <si>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</si>
  <si>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</si>
  <si>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</si>
  <si>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</si>
  <si>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</si>
  <si>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</si>
  <si>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</si>
  <si>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</si>
  <si>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</si>
  <si>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</si>
  <si>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</si>
  <si>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</si>
  <si>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</si>
  <si>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</si>
  <si>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</si>
  <si>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</si>
  <si>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</si>
  <si>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</si>
  <si>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</si>
  <si>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</si>
  <si>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</si>
  <si>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</si>
  <si>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</si>
  <si>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</si>
  <si>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</si>
  <si>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</si>
  <si>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</si>
  <si>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</si>
  <si>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</si>
  <si>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</si>
  <si>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</si>
  <si>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</si>
  <si>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</si>
  <si>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</si>
  <si>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</si>
  <si>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</si>
  <si>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</si>
  <si>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</si>
  <si>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</si>
  <si>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</si>
  <si>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</si>
  <si>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</si>
  <si>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</si>
  <si>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</si>
  <si>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</si>
  <si>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</si>
  <si>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</si>
  <si>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</si>
  <si>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</si>
  <si>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</si>
  <si>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</si>
  <si>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</si>
  <si>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</si>
  <si>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</si>
  <si>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</si>
  <si>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</si>
  <si>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</si>
  <si>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</si>
  <si>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</si>
  <si>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</si>
  <si>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</si>
  <si>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</si>
  <si>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</si>
  <si>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</si>
  <si>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</si>
  <si>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</si>
  <si>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</si>
  <si>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</si>
  <si>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</si>
  <si>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</si>
  <si>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</si>
  <si>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</si>
  <si>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</si>
  <si>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</si>
  <si>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</si>
  <si>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</si>
  <si>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</si>
  <si>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</si>
  <si>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</si>
  <si>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</si>
  <si>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</si>
  <si>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</si>
  <si>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</si>
  <si>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</si>
  <si>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</si>
  <si>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</si>
  <si>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</si>
  <si>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</si>
  <si>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</si>
  <si>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</si>
  <si>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</si>
  <si>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</si>
  <si>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</si>
  <si>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</si>
  <si>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</si>
  <si>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</si>
  <si>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</si>
  <si>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</si>
  <si>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</si>
  <si>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</si>
  <si>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</si>
  <si>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</si>
  <si>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</si>
  <si>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</si>
  <si>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</si>
  <si>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</si>
  <si>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</si>
  <si>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</si>
  <si>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</si>
  <si>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</si>
  <si>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</si>
  <si>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</si>
  <si>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</si>
  <si>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</si>
  <si>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</si>
  <si>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</si>
  <si>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</si>
  <si>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</si>
  <si>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</si>
  <si>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</si>
  <si>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</si>
  <si>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</si>
  <si>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</si>
  <si>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</si>
  <si>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</si>
  <si>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</si>
  <si>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</si>
  <si>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</si>
  <si>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</si>
  <si>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</si>
  <si>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</si>
  <si>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</si>
  <si>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</si>
  <si>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</si>
  <si>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</si>
  <si>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</si>
  <si>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</si>
  <si>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</si>
  <si>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</si>
  <si>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</si>
  <si>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</si>
  <si>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</si>
  <si>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</si>
  <si>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</si>
  <si>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</si>
  <si>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</si>
  <si>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</si>
  <si>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</si>
  <si>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</si>
  <si>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</si>
  <si>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</si>
  <si>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</si>
  <si>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</si>
  <si>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</si>
  <si>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</si>
  <si>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</si>
  <si>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</si>
  <si>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</si>
  <si>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</si>
  <si>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</si>
  <si>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</si>
  <si>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</si>
  <si>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</si>
  <si>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</si>
  <si>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</si>
  <si>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</si>
  <si>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</si>
  <si>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</si>
  <si>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</si>
  <si>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</si>
  <si>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</si>
  <si>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</si>
  <si>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</si>
  <si>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</si>
  <si>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</si>
  <si>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</si>
  <si>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</si>
  <si>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</si>
  <si>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</si>
  <si>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</si>
  <si>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</si>
  <si>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</si>
  <si>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</si>
  <si>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</si>
  <si>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</si>
  <si>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</si>
  <si>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</si>
  <si>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</si>
  <si>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</si>
  <si>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</si>
  <si>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</si>
  <si>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</si>
  <si>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</si>
  <si>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</si>
  <si>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</si>
  <si>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</si>
  <si>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</si>
  <si>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</si>
  <si>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</si>
  <si>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</si>
  <si>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</si>
  <si>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</si>
  <si>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</si>
  <si>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</si>
  <si>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</si>
  <si>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</si>
  <si>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</si>
  <si>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</si>
  <si>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</si>
  <si>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</si>
  <si>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</si>
  <si>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</si>
  <si>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</si>
  <si>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</si>
  <si>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</si>
  <si>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</si>
  <si>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</si>
  <si>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</si>
  <si>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</si>
  <si>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</si>
  <si>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</si>
  <si>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</si>
  <si>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</si>
  <si>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</si>
  <si>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</si>
  <si>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</si>
  <si>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</si>
  <si>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</si>
  <si>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</si>
  <si>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</si>
  <si>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</si>
  <si>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</si>
  <si>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</si>
  <si>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</si>
  <si>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</si>
  <si>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</si>
  <si>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</si>
  <si>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</si>
  <si>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</si>
  <si>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</si>
  <si>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</si>
  <si>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</si>
  <si>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</si>
  <si>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</si>
  <si>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</si>
  <si>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</si>
  <si>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</si>
  <si>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</si>
  <si>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</si>
  <si>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</si>
  <si>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</si>
  <si>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</si>
  <si>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</si>
  <si>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</si>
  <si>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</si>
  <si>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</si>
  <si>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</si>
  <si>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</si>
  <si>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</si>
  <si>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</si>
  <si>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</si>
  <si>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</si>
  <si>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</si>
  <si>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</si>
  <si>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</si>
  <si>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</si>
  <si>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</si>
  <si>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</si>
  <si>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</si>
  <si>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</si>
  <si>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</si>
  <si>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</si>
  <si>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</si>
  <si>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</si>
  <si>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</si>
  <si>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</si>
  <si>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</si>
  <si>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</si>
  <si>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</si>
  <si>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</si>
  <si>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</si>
  <si>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</si>
  <si>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</si>
  <si>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</si>
  <si>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</si>
  <si>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</si>
  <si>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</si>
  <si>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</si>
  <si>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</si>
  <si>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</si>
  <si>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</si>
  <si>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</si>
  <si>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</si>
  <si>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</si>
  <si>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</si>
  <si>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</si>
  <si>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</si>
  <si>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</si>
  <si>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</si>
  <si>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</si>
  <si>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</si>
  <si>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</si>
  <si>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</si>
  <si>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</si>
  <si>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</si>
  <si>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</si>
  <si>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</si>
  <si>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</si>
  <si>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</si>
  <si>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</si>
  <si>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</si>
  <si>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</si>
  <si>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</si>
  <si>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</si>
  <si>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</si>
  <si>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</si>
  <si>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</si>
  <si>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</si>
  <si>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</si>
  <si>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</si>
  <si>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</si>
  <si>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</si>
  <si>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</si>
  <si>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</si>
  <si>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</si>
  <si>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</si>
  <si>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</si>
  <si>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</si>
  <si>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</si>
  <si>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</si>
  <si>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</si>
  <si>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</si>
  <si>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</si>
  <si>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</si>
  <si>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</si>
  <si>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</si>
  <si>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</si>
  <si>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</si>
  <si>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</si>
  <si>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</si>
  <si>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</si>
  <si>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</si>
  <si>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</si>
  <si>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</si>
  <si>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</si>
  <si>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</si>
  <si>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</si>
  <si>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</si>
  <si>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</si>
  <si>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</si>
  <si>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</si>
  <si>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</si>
  <si>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</si>
  <si>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</si>
  <si>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</si>
  <si>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</si>
  <si>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</si>
  <si>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</si>
  <si>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</si>
  <si>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</si>
  <si>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</si>
  <si>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</si>
  <si>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</si>
  <si>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</si>
  <si>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</si>
  <si>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</si>
  <si>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</si>
  <si>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</si>
  <si>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</si>
  <si>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</si>
  <si>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</si>
  <si>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</si>
  <si>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</si>
  <si>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</si>
  <si>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</si>
  <si>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</si>
  <si>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</si>
  <si>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</si>
  <si>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</si>
  <si>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</si>
  <si>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</si>
  <si>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</si>
  <si>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</si>
  <si>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</si>
  <si>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</si>
  <si>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</si>
  <si>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</si>
  <si>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</si>
  <si>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</si>
  <si>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</si>
  <si>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</si>
  <si>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</si>
  <si>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</si>
  <si>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</si>
  <si>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</si>
  <si>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</si>
  <si>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</si>
  <si>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</si>
  <si>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</si>
  <si>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</si>
  <si>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</si>
  <si>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</si>
  <si>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</si>
  <si>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</si>
  <si>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</si>
  <si>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</si>
  <si>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</si>
  <si>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</si>
  <si>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</si>
  <si>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</si>
  <si>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</si>
  <si>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</si>
  <si>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</si>
  <si>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</si>
  <si>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</si>
  <si>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</si>
  <si>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</si>
  <si>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</si>
  <si>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</si>
  <si>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</si>
  <si>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</si>
  <si>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</si>
  <si>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</si>
  <si>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</si>
  <si>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</si>
  <si>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</si>
  <si>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</si>
  <si>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</si>
  <si>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</si>
  <si>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</si>
  <si>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</si>
  <si>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</si>
  <si>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</si>
  <si>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</si>
  <si>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</si>
  <si>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</si>
  <si>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</si>
  <si>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</si>
  <si>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</si>
  <si>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</si>
  <si>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</si>
  <si>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</si>
  <si>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</si>
  <si>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</si>
  <si>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</si>
  <si>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</si>
  <si>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</si>
  <si>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</si>
  <si>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</si>
  <si>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</si>
  <si>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</si>
  <si>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</si>
  <si>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</si>
  <si>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</si>
  <si>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</si>
  <si>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</si>
  <si>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</si>
  <si>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</si>
  <si>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</si>
  <si>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</si>
  <si>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</si>
  <si>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</si>
  <si>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</si>
  <si>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</si>
  <si>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</si>
  <si>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</si>
  <si>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</si>
  <si>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</si>
  <si>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</si>
  <si>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</si>
  <si>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</si>
  <si>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</si>
  <si>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</si>
  <si>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</si>
  <si>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</si>
  <si>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</si>
  <si>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</si>
  <si>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</si>
  <si>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</si>
  <si>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</si>
  <si>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</si>
  <si>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</si>
  <si>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</si>
  <si>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</si>
  <si>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</si>
  <si>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</si>
  <si>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</si>
  <si>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</si>
  <si>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</si>
  <si>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</si>
  <si>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</si>
  <si>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</si>
  <si>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</si>
  <si>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</si>
  <si>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</si>
  <si>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</si>
  <si>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</si>
  <si>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</si>
  <si>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</si>
  <si>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</si>
  <si>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</si>
  <si>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</si>
  <si>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</si>
  <si>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</si>
  <si>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</si>
  <si>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</si>
  <si>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</si>
  <si>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</si>
  <si>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</si>
  <si>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</si>
  <si>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</si>
  <si>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</si>
  <si>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</si>
  <si>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</si>
  <si>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</si>
  <si>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</si>
  <si>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</si>
  <si>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</si>
  <si>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</si>
  <si>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</si>
  <si>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</si>
  <si>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</si>
  <si>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</si>
  <si>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</si>
  <si>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</si>
  <si>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</si>
  <si>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</si>
  <si>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</si>
  <si>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</si>
  <si>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</si>
  <si>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</si>
  <si>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</si>
  <si>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</si>
  <si>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</si>
  <si>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</si>
  <si>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</si>
  <si>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</si>
  <si>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</si>
  <si>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</si>
  <si>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</si>
  <si>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</si>
  <si>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</si>
  <si>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</si>
  <si>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</si>
  <si>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</si>
  <si>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</si>
  <si>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</si>
  <si>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</si>
  <si>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</si>
  <si>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</si>
  <si>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</si>
  <si>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</si>
  <si>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</si>
  <si>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</si>
  <si>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</si>
  <si>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</si>
  <si>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</si>
  <si>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</si>
  <si>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</si>
  <si>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</si>
  <si>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</si>
  <si>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</si>
  <si>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</si>
  <si>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</si>
  <si>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</si>
  <si>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</si>
  <si>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</si>
  <si>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</si>
  <si>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</si>
  <si>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</si>
  <si>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</si>
  <si>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</si>
  <si>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</si>
  <si>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</si>
  <si>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</si>
  <si>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</si>
  <si>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</si>
  <si>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</si>
  <si>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</si>
  <si>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</si>
  <si>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</si>
  <si>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</si>
  <si>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</si>
  <si>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</si>
  <si>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</si>
  <si>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</si>
  <si>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</si>
  <si>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</si>
  <si>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</si>
  <si>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</si>
  <si>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</si>
  <si>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</si>
  <si>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</si>
  <si>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</si>
  <si>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</si>
  <si>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</si>
  <si>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</si>
  <si>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</si>
  <si>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</si>
  <si>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</si>
  <si>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</si>
  <si>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</si>
  <si>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</si>
  <si>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</si>
  <si>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</si>
  <si>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</si>
  <si>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</si>
  <si>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</si>
  <si>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</si>
  <si>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</si>
  <si>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</si>
  <si>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</si>
  <si>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</si>
  <si>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</si>
  <si>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</si>
  <si>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</si>
  <si>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</si>
  <si>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</si>
  <si>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</si>
  <si>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</si>
  <si>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</si>
  <si>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</si>
  <si>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</si>
  <si>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</si>
  <si>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</si>
  <si>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</si>
  <si>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</si>
  <si>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</si>
  <si>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</si>
  <si>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</si>
  <si>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</si>
  <si>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</si>
  <si>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</si>
  <si>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</si>
  <si>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</si>
  <si>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</si>
  <si>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</si>
  <si>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</si>
  <si>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</si>
  <si>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</si>
  <si>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</si>
  <si>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</si>
  <si>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</si>
  <si>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</si>
  <si>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</si>
  <si>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</si>
  <si>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</si>
  <si>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</si>
  <si>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</si>
  <si>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</si>
  <si>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</si>
  <si>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</si>
  <si>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</si>
  <si>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</si>
  <si>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</si>
  <si>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</si>
  <si>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</si>
  <si>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</si>
  <si>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</si>
  <si>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</si>
  <si>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</si>
  <si>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</si>
  <si>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</si>
  <si>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</si>
  <si>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</si>
  <si>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</si>
  <si>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</si>
  <si>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</si>
  <si>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</si>
  <si>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</si>
  <si>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</si>
  <si>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</si>
  <si>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</si>
  <si>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</si>
  <si>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</si>
  <si>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</si>
  <si>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</si>
  <si>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</si>
  <si>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</si>
  <si>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</si>
  <si>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</si>
  <si>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</si>
  <si>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</si>
  <si>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</si>
  <si>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</si>
  <si>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</si>
  <si>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</si>
  <si>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</si>
  <si>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</si>
  <si>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</si>
  <si>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</si>
  <si>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</si>
  <si>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</si>
  <si>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</si>
  <si>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</si>
  <si>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</si>
  <si>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</si>
  <si>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</si>
  <si>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</si>
  <si>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</si>
  <si>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</si>
  <si>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</si>
  <si>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</si>
  <si>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</si>
  <si>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</si>
  <si>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</si>
  <si>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</si>
  <si>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</si>
  <si>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</si>
  <si>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</si>
  <si>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</si>
  <si>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</si>
  <si>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</si>
  <si>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</si>
  <si>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</si>
  <si>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</si>
  <si>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</si>
  <si>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</si>
  <si>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</si>
  <si>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</si>
  <si>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</si>
  <si>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</si>
  <si>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</si>
  <si>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</si>
  <si>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</si>
  <si>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</si>
  <si>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</si>
  <si>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</si>
  <si>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</si>
  <si>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</si>
  <si>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</si>
  <si>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</si>
  <si>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</si>
  <si>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</si>
  <si>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</si>
  <si>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</si>
  <si>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</si>
  <si>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</si>
  <si>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</si>
  <si>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</si>
  <si>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</si>
  <si>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</si>
  <si>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</si>
  <si>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</si>
  <si>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</si>
  <si>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</si>
  <si>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</si>
  <si>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</si>
  <si>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</si>
  <si>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</si>
  <si>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</si>
  <si>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</si>
  <si>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</si>
  <si>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</si>
  <si>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</si>
  <si>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</si>
  <si>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</si>
  <si>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</si>
  <si>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</si>
  <si>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</si>
  <si>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</si>
  <si>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</si>
  <si>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</si>
  <si>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</si>
  <si>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</si>
  <si>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</si>
  <si>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</si>
  <si>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</si>
  <si>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</si>
  <si>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</si>
  <si>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</si>
  <si>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</si>
  <si>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</si>
  <si>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</si>
  <si>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</si>
  <si>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</si>
  <si>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</si>
  <si>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</si>
  <si>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</si>
  <si>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</si>
  <si>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</si>
  <si>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</si>
  <si>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</si>
  <si>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</si>
  <si>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</si>
  <si>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</si>
  <si>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</si>
  <si>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</si>
  <si>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</si>
  <si>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</si>
  <si>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</si>
  <si>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</si>
  <si>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</si>
  <si>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</si>
  <si>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</si>
  <si>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</si>
  <si>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</si>
  <si>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</si>
  <si>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</si>
  <si>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</si>
  <si>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</si>
  <si>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</si>
  <si>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</si>
  <si>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</si>
  <si>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</si>
  <si>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</si>
  <si>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</si>
  <si>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</si>
  <si>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</si>
  <si>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</si>
  <si>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</si>
  <si>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</si>
  <si>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</si>
  <si>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</si>
  <si>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</si>
  <si>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</si>
  <si>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</si>
  <si>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</si>
  <si>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</si>
  <si>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</si>
  <si>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</si>
  <si>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</si>
  <si>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</si>
  <si>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</si>
  <si>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</si>
  <si>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</si>
  <si>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</si>
  <si>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</si>
  <si>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</si>
  <si>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</si>
  <si>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</si>
  <si>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</si>
  <si>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</si>
  <si>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</si>
  <si>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</si>
  <si>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</si>
  <si>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</si>
  <si>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</si>
  <si>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</si>
  <si>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</si>
  <si>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</si>
  <si>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</si>
  <si>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</si>
  <si>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</si>
  <si>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</si>
  <si>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</si>
  <si>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</si>
  <si>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</si>
  <si>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</si>
  <si>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</si>
  <si>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</si>
  <si>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</si>
  <si>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</si>
  <si>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</si>
  <si>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</si>
  <si>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</si>
  <si>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</si>
  <si>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</si>
  <si>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</si>
  <si>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</si>
  <si>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</si>
  <si>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</si>
  <si>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</si>
  <si>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</si>
  <si>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</si>
  <si>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</si>
  <si>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</si>
  <si>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</si>
  <si>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</si>
  <si>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</si>
  <si>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</si>
  <si>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</si>
  <si>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</si>
  <si>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</si>
  <si>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</si>
  <si>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</si>
  <si>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</si>
  <si>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</si>
  <si>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</si>
  <si>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</si>
  <si>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</si>
  <si>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</si>
  <si>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</si>
  <si>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</si>
  <si>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</si>
  <si>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</si>
  <si>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</si>
  <si>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</si>
  <si>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</si>
  <si>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</si>
  <si>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</si>
  <si>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</si>
  <si>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</si>
  <si>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</si>
  <si>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</si>
  <si>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</si>
  <si>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</si>
  <si>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</si>
  <si>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</si>
  <si>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</si>
  <si>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</si>
  <si>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</si>
  <si>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</si>
  <si>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</si>
  <si>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</si>
  <si>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</si>
  <si>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</si>
  <si>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</si>
  <si>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</si>
  <si>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</si>
  <si>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</si>
  <si>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</si>
  <si>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</si>
  <si>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</si>
  <si>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</si>
  <si>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</si>
  <si>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</si>
  <si>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</si>
  <si>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</si>
  <si>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</si>
  <si>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</si>
  <si>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</si>
  <si>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</si>
  <si>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</si>
  <si>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</si>
  <si>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</si>
  <si>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</si>
  <si>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</si>
  <si>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</si>
  <si>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</si>
  <si>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</si>
  <si>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</si>
  <si>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</si>
  <si>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</si>
  <si>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</si>
  <si>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</si>
  <si>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</si>
  <si>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</si>
  <si>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</si>
  <si>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</si>
  <si>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</si>
  <si>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</si>
  <si>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</si>
  <si>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</si>
  <si>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</si>
  <si>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</si>
  <si>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</si>
  <si>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</si>
  <si>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</si>
  <si>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</si>
  <si>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</si>
  <si>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</si>
  <si>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</si>
  <si>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</si>
  <si>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</si>
  <si>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</si>
  <si>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</si>
  <si>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</si>
  <si>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</si>
  <si>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</si>
  <si>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</si>
  <si>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</si>
  <si>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</si>
  <si>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</si>
  <si>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</si>
  <si>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</si>
  <si>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</si>
  <si>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</si>
  <si>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</si>
  <si>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</si>
  <si>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</si>
  <si>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</si>
  <si>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</si>
  <si>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</si>
  <si>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</si>
  <si>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</si>
  <si>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</si>
  <si>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</si>
  <si>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</si>
  <si>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</si>
  <si>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</si>
  <si>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</si>
  <si>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</si>
  <si>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</si>
  <si>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</si>
  <si>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</si>
  <si>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</si>
  <si>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</si>
  <si>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</si>
  <si>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</si>
  <si>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</si>
  <si>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</si>
  <si>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</si>
  <si>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</si>
  <si>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</si>
  <si>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</si>
  <si>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</si>
  <si>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</si>
  <si>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</si>
  <si>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</si>
  <si>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</si>
  <si>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</si>
  <si>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</si>
  <si>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</si>
  <si>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</si>
  <si>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</si>
  <si>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</si>
  <si>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</si>
  <si>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</si>
  <si>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</si>
  <si>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</si>
  <si>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</si>
  <si>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</si>
  <si>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</si>
  <si>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</si>
  <si>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</si>
  <si>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</si>
  <si>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</si>
  <si>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</si>
  <si>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</si>
  <si>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</si>
  <si>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</si>
  <si>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</si>
  <si>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</si>
  <si>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</si>
  <si>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</si>
  <si>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</si>
  <si>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</si>
  <si>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</si>
  <si>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</si>
  <si>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</si>
  <si>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</si>
  <si>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</si>
  <si>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</si>
  <si>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</si>
  <si>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</si>
  <si>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</si>
  <si>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</si>
  <si>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</si>
  <si>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</si>
  <si>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</si>
  <si>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</si>
  <si>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</si>
  <si>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</si>
  <si>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</si>
  <si>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</si>
  <si>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</si>
  <si>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</si>
  <si>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</si>
  <si>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</si>
  <si>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</si>
  <si>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</si>
  <si>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</si>
  <si>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</si>
  <si>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</si>
  <si>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</si>
  <si>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</si>
  <si>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</si>
  <si>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</si>
  <si>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</si>
  <si>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</si>
  <si>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</si>
  <si>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</si>
  <si>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</si>
  <si>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</si>
  <si>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</si>
  <si>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</si>
  <si>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</si>
  <si>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</si>
  <si>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</si>
  <si>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</si>
  <si>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</si>
  <si>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</si>
  <si>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</si>
  <si>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</si>
  <si>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</si>
  <si>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</si>
  <si>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</si>
  <si>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</si>
  <si>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</si>
  <si>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</si>
  <si>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</si>
  <si>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</si>
  <si>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</si>
  <si>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</si>
  <si>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</si>
  <si>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</si>
  <si>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</si>
  <si>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</si>
  <si>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</si>
  <si>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</si>
  <si>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</si>
  <si>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</si>
  <si>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</si>
  <si>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</si>
  <si>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</si>
  <si>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</si>
  <si>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</si>
  <si>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</si>
  <si>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</si>
  <si>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</si>
  <si>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</si>
  <si>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</si>
  <si>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</si>
  <si>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</si>
  <si>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</si>
  <si>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</si>
  <si>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</si>
  <si>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</si>
  <si>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</si>
  <si>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</si>
  <si>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</si>
  <si>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</si>
  <si>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</si>
  <si>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</si>
  <si>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</si>
  <si>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</si>
  <si>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</si>
  <si>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</si>
  <si>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</si>
  <si>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</si>
  <si>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</si>
  <si>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</si>
  <si>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</si>
  <si>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</si>
  <si>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</si>
  <si>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</si>
  <si>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</si>
  <si>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</si>
  <si>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</si>
  <si>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</si>
  <si>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</si>
  <si>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</si>
  <si>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</si>
  <si>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</si>
  <si>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</si>
  <si>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</si>
  <si>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</si>
  <si>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</si>
  <si>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</si>
  <si>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</si>
  <si>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</si>
  <si>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</si>
  <si>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</si>
  <si>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</si>
  <si>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</si>
  <si>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</si>
  <si>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</si>
  <si>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</si>
  <si>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</si>
  <si>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</si>
  <si>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</si>
  <si>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</si>
  <si>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</si>
  <si>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</si>
  <si>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</si>
  <si>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</si>
  <si>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</si>
  <si>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</si>
  <si>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</si>
  <si>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</si>
  <si>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</si>
  <si>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</si>
  <si>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</si>
  <si>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</si>
  <si>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</si>
  <si>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</si>
  <si>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</si>
  <si>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</si>
  <si>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</si>
  <si>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</si>
  <si>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</si>
  <si>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</si>
  <si>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</si>
  <si>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</si>
  <si>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</si>
  <si>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</si>
  <si>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</si>
  <si>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</si>
  <si>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</si>
  <si>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</si>
  <si>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</si>
  <si>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</si>
  <si>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</si>
  <si>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</si>
  <si>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</si>
  <si>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</si>
  <si>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</si>
  <si>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</si>
  <si>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</si>
  <si>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</si>
  <si>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</si>
  <si>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</si>
  <si>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</si>
  <si>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</si>
  <si>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</si>
  <si>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</si>
  <si>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</si>
  <si>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</si>
  <si>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</si>
  <si>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</si>
  <si>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</si>
  <si>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</si>
  <si>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</si>
  <si>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</si>
  <si>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</si>
  <si>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</si>
  <si>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</si>
  <si>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</si>
  <si>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</si>
  <si>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</si>
  <si>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</si>
  <si>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</si>
  <si>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</si>
  <si>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</si>
  <si>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</si>
  <si>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</si>
  <si>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</si>
  <si>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</si>
  <si>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</si>
  <si>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</si>
  <si>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</si>
  <si>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</si>
  <si>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</si>
  <si>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</si>
  <si>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</si>
  <si>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</si>
  <si>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</si>
  <si>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</si>
  <si>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</si>
  <si>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</si>
  <si>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</si>
  <si>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</si>
  <si>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</si>
  <si>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</si>
  <si>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</si>
  <si>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</si>
  <si>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</si>
  <si>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</si>
  <si>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</si>
  <si>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</si>
  <si>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</si>
  <si>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</si>
  <si>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</si>
  <si>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</si>
  <si>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</si>
  <si>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</si>
  <si>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</si>
  <si>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</si>
  <si>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</si>
  <si>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</si>
  <si>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</si>
  <si>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</si>
  <si>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</si>
  <si>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</si>
  <si>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</si>
  <si>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</si>
  <si>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</si>
  <si>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</si>
  <si>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</si>
  <si>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</si>
  <si>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</si>
  <si>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</si>
  <si>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</si>
  <si>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</si>
  <si>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</si>
  <si>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</si>
  <si>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</si>
  <si>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</si>
  <si>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</si>
  <si>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</si>
  <si>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</si>
  <si>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</si>
  <si>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</si>
  <si>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</si>
  <si>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</si>
  <si>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</si>
  <si>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</si>
  <si>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</si>
  <si>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</si>
  <si>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</si>
  <si>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</si>
  <si>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</si>
  <si>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</si>
  <si>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</si>
  <si>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</si>
  <si>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</si>
  <si>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</si>
  <si>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</si>
  <si>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</si>
  <si>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</si>
  <si>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</si>
  <si>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</si>
  <si>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</si>
  <si>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</si>
  <si>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</si>
  <si>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</si>
  <si>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</si>
  <si>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</si>
  <si>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</si>
  <si>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</si>
  <si>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</si>
  <si>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</si>
  <si>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</si>
  <si>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</si>
  <si>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</si>
  <si>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</si>
  <si>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</si>
  <si>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</si>
  <si>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</si>
  <si>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</si>
  <si>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</si>
  <si>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</si>
  <si>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</si>
  <si>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</si>
  <si>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</si>
  <si>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</si>
  <si>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</si>
  <si>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</si>
  <si>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</si>
  <si>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</si>
  <si>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</si>
  <si>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</si>
  <si>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</si>
  <si>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</si>
  <si>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</si>
  <si>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</si>
  <si>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</si>
  <si>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</si>
  <si>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</si>
  <si>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</si>
  <si>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</si>
  <si>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</si>
  <si>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</si>
  <si>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</si>
  <si>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</si>
  <si>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</si>
  <si>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</si>
  <si>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</si>
  <si>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</si>
  <si>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</si>
  <si>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</si>
  <si>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</si>
  <si>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</si>
  <si>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</si>
  <si>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</si>
  <si>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</si>
  <si>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</si>
  <si>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</si>
  <si>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</si>
  <si>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</si>
  <si>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</si>
  <si>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</si>
  <si>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</si>
  <si>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</si>
  <si>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</si>
  <si>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</si>
  <si>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</si>
  <si>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</si>
  <si>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</si>
  <si>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</si>
  <si>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</si>
  <si>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</si>
  <si>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</si>
  <si>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</si>
  <si>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</si>
  <si>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</si>
  <si>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</si>
  <si>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</si>
  <si>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</si>
  <si>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</si>
  <si>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</si>
  <si>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</si>
  <si>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</si>
  <si>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</si>
  <si>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</si>
  <si>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</si>
  <si>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</si>
  <si>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</si>
  <si>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</si>
  <si>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</si>
  <si>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</si>
  <si>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</si>
  <si>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</si>
  <si>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</si>
  <si>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</si>
  <si>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</si>
  <si>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</si>
  <si>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</si>
  <si>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</si>
  <si>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</si>
  <si>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</si>
  <si>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</si>
  <si>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</si>
  <si>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</si>
  <si>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</si>
  <si>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</si>
  <si>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</si>
  <si>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</si>
  <si>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</si>
  <si>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</si>
  <si>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</si>
  <si>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</si>
  <si>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</si>
  <si>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</si>
  <si>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</si>
  <si>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</si>
  <si>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</si>
  <si>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</si>
  <si>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</si>
  <si>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</si>
  <si>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</si>
  <si>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</si>
  <si>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</si>
  <si>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</si>
  <si>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</si>
  <si>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</si>
  <si>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</si>
  <si>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</si>
  <si>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</si>
  <si>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</si>
  <si>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</si>
  <si>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</si>
  <si>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</si>
  <si>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</si>
  <si>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</si>
  <si>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</si>
  <si>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</si>
  <si>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</si>
  <si>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</si>
  <si>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</si>
  <si>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</si>
  <si>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</si>
  <si>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</si>
  <si>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</si>
  <si>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</si>
  <si>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</si>
  <si>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</si>
  <si>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</si>
  <si>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</si>
  <si>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</si>
  <si>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</si>
  <si>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</si>
  <si>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</si>
  <si>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</si>
  <si>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</si>
  <si>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</si>
  <si>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</si>
  <si>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</si>
  <si>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</si>
  <si>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</si>
  <si>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</si>
  <si>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</si>
  <si>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</si>
  <si>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</si>
  <si>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</si>
  <si>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</si>
  <si>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</si>
  <si>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</si>
  <si>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</si>
  <si>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</si>
  <si>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</si>
  <si>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</si>
  <si>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</si>
  <si>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</si>
  <si>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</si>
  <si>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</si>
  <si>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</si>
  <si>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</si>
  <si>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</si>
  <si>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</si>
  <si>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</si>
  <si>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</si>
  <si>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</si>
  <si>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</si>
  <si>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</si>
  <si>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</si>
  <si>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</si>
  <si>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</si>
  <si>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</si>
  <si>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</si>
  <si>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</si>
  <si>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</si>
  <si>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</si>
  <si>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</si>
  <si>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</si>
  <si>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</si>
  <si>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</si>
  <si>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</si>
  <si>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</si>
  <si>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</si>
  <si>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</si>
  <si>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</si>
  <si>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</si>
  <si>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</si>
  <si>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</si>
  <si>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</si>
  <si>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</si>
  <si>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</si>
  <si>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</si>
  <si>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</si>
  <si>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</si>
  <si>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</si>
  <si>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</si>
  <si>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</si>
  <si>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</si>
  <si>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</si>
  <si>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</si>
  <si>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</si>
  <si>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</si>
  <si>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</si>
  <si>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</si>
  <si>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</si>
  <si>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</si>
  <si>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</si>
  <si>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</si>
  <si>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</si>
  <si>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</si>
  <si>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</si>
  <si>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</si>
  <si>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</si>
  <si>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</si>
  <si>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</si>
  <si>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</si>
  <si>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</si>
  <si>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</si>
  <si>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</si>
  <si>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</si>
  <si>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</si>
  <si>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</si>
  <si>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</si>
  <si>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</si>
  <si>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</si>
  <si>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</si>
  <si>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</si>
  <si>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</si>
  <si>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</si>
  <si>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</si>
  <si>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</si>
  <si>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</si>
  <si>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</si>
  <si>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</si>
  <si>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</si>
  <si>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</si>
  <si>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</si>
  <si>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</si>
  <si>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</si>
  <si>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</si>
  <si>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</si>
  <si>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</si>
  <si>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</si>
  <si>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</si>
  <si>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</si>
  <si>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</si>
  <si>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</si>
  <si>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</si>
  <si>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</si>
  <si>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</si>
  <si>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</si>
  <si>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</si>
  <si>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</si>
  <si>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</si>
  <si>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</si>
  <si>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</si>
  <si>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</si>
  <si>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</si>
  <si>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</si>
  <si>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</si>
  <si>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</si>
  <si>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</si>
  <si>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</si>
  <si>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</si>
  <si>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</si>
  <si>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</si>
  <si>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</si>
  <si>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</si>
  <si>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</si>
  <si>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</si>
  <si>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</si>
  <si>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</si>
  <si>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</si>
  <si>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</si>
  <si>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</si>
  <si>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</si>
  <si>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</si>
  <si>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</si>
  <si>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</si>
  <si>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</si>
  <si>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</si>
  <si>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</si>
  <si>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</si>
  <si>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</si>
  <si>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</si>
  <si>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</si>
  <si>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</si>
  <si>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</si>
  <si>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</si>
  <si>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</si>
  <si>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</si>
  <si>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</si>
  <si>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</si>
  <si>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</si>
  <si>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</si>
  <si>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</si>
  <si>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</si>
  <si>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</si>
  <si>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</si>
  <si>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</si>
  <si>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</si>
  <si>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</si>
  <si>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</si>
  <si>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</si>
  <si>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</si>
  <si>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</si>
  <si>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</si>
  <si>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</si>
  <si>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</si>
  <si>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</si>
  <si>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</si>
  <si>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</si>
  <si>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</si>
  <si>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</si>
  <si>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</si>
  <si>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</si>
  <si>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</si>
  <si>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</si>
  <si>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</si>
  <si>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</si>
  <si>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</si>
  <si>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</si>
  <si>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</si>
  <si>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</si>
  <si>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</si>
  <si>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</si>
  <si>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</si>
  <si>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</si>
  <si>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</si>
  <si>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</si>
  <si>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</si>
  <si>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</si>
  <si>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</si>
  <si>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</si>
  <si>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</si>
  <si>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</si>
  <si>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</si>
  <si>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</si>
  <si>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</si>
  <si>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</si>
  <si>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</si>
  <si>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</si>
  <si>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</si>
  <si>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</si>
  <si>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</si>
  <si>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</si>
  <si>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</si>
  <si>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</si>
  <si>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</si>
  <si>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</si>
  <si>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</si>
  <si>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</si>
  <si>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</si>
  <si>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</si>
  <si>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</si>
  <si>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</si>
  <si>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</si>
  <si>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</si>
  <si>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</si>
  <si>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</si>
  <si>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</si>
  <si>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</si>
  <si>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</si>
  <si>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</si>
  <si>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</si>
  <si>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</si>
  <si>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</si>
  <si>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</si>
  <si>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</si>
  <si>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</si>
  <si>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</si>
  <si>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</si>
  <si>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</si>
  <si>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</si>
  <si>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</si>
  <si>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</si>
  <si>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</si>
  <si>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</si>
  <si>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</si>
  <si>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</si>
  <si>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</si>
  <si>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</si>
  <si>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</si>
  <si>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</si>
  <si>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</si>
  <si>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</si>
  <si>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</si>
  <si>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</si>
  <si>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</si>
  <si>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</si>
  <si>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</si>
  <si>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</si>
  <si>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</si>
  <si>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</si>
  <si>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</si>
  <si>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</si>
  <si>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</si>
  <si>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</si>
  <si>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</si>
  <si>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</si>
  <si>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</si>
  <si>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</si>
  <si>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</si>
  <si>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</si>
  <si>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</si>
  <si>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</si>
  <si>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</si>
  <si>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</si>
  <si>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</si>
  <si>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</si>
  <si>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</si>
  <si>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</si>
  <si>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</si>
  <si>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</si>
  <si>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</si>
  <si>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</si>
  <si>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</si>
  <si>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</si>
  <si>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</si>
  <si>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</si>
  <si>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</si>
  <si>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</si>
  <si>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</si>
  <si>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</si>
  <si>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</si>
  <si>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</si>
  <si>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</si>
  <si>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</si>
  <si>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</si>
  <si>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</si>
  <si>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</si>
  <si>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</si>
  <si>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</si>
  <si>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</si>
  <si>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</si>
  <si>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</si>
  <si>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</si>
  <si>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</si>
  <si>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</si>
  <si>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</si>
  <si>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</si>
  <si>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</si>
  <si>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</si>
  <si>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</si>
  <si>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</si>
  <si>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</si>
  <si>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</si>
  <si>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</si>
  <si>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</si>
  <si>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</si>
  <si>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</si>
  <si>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</si>
  <si>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</si>
  <si>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</si>
  <si>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</si>
  <si>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</si>
  <si>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</si>
  <si>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</si>
  <si>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</si>
  <si>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</si>
  <si>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</si>
  <si>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</si>
  <si>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</si>
  <si>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</si>
  <si>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</si>
  <si>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</si>
  <si>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</si>
  <si>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</si>
  <si>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</si>
  <si>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</si>
  <si>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</si>
  <si>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</si>
  <si>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</si>
  <si>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</si>
  <si>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</si>
  <si>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</si>
  <si>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</si>
  <si>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</si>
  <si>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</si>
  <si>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</si>
  <si>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</si>
  <si>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</si>
  <si>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</si>
  <si>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</si>
  <si>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</si>
  <si>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</si>
  <si>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</si>
  <si>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</si>
  <si>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</si>
  <si>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</si>
  <si>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</si>
  <si>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</si>
  <si>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</si>
  <si>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</si>
  <si>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</si>
  <si>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</si>
  <si>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</si>
  <si>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</si>
  <si>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</si>
  <si>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</si>
  <si>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</si>
  <si>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</si>
  <si>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</si>
  <si>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</si>
  <si>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</si>
  <si>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</si>
  <si>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</si>
  <si>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</si>
  <si>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</si>
  <si>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</si>
  <si>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</si>
  <si>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</si>
  <si>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</si>
  <si>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</si>
  <si>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</si>
  <si>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</si>
  <si>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</si>
  <si>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</si>
  <si>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</si>
  <si>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</si>
  <si>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</si>
  <si>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</si>
  <si>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</si>
  <si>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</si>
  <si>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</si>
  <si>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</si>
  <si>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</si>
  <si>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</si>
  <si>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</si>
  <si>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</si>
  <si>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</si>
  <si>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</si>
  <si>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</si>
  <si>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</si>
  <si>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</si>
  <si>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</si>
  <si>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</si>
  <si>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</si>
  <si>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</si>
  <si>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</si>
  <si>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</si>
  <si>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</si>
  <si>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</si>
  <si>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</si>
  <si>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</si>
  <si>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</si>
  <si>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</si>
  <si>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</si>
  <si>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</si>
  <si>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</si>
  <si>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</si>
  <si>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</si>
  <si>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</si>
  <si>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</si>
  <si>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</si>
  <si>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</si>
  <si>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</si>
  <si>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</si>
  <si>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</si>
  <si>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</si>
  <si>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</si>
  <si>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</si>
  <si>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</si>
  <si>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</si>
  <si>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</si>
  <si>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</si>
  <si>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</si>
  <si>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</si>
  <si>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</si>
  <si>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</si>
  <si>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</si>
  <si>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</si>
  <si>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</si>
  <si>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</si>
  <si>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</si>
  <si>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</si>
  <si>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</si>
  <si>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</si>
  <si>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</si>
  <si>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</si>
  <si>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</si>
  <si>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</si>
  <si>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</si>
  <si>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</si>
  <si>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</si>
  <si>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</si>
  <si>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</si>
  <si>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</si>
  <si>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</si>
  <si>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</si>
  <si>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</si>
  <si>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</si>
  <si>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</si>
  <si>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</si>
  <si>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</si>
  <si>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</si>
  <si>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</si>
  <si>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</si>
  <si>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</si>
  <si>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</si>
  <si>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</si>
  <si>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</si>
  <si>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</si>
  <si>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</si>
  <si>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</si>
  <si>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</si>
  <si>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</si>
  <si>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</si>
  <si>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</si>
  <si>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</si>
  <si>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</si>
  <si>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</si>
  <si>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</si>
  <si>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</si>
  <si>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</si>
  <si>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</si>
  <si>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</si>
  <si>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</si>
  <si>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</si>
  <si>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</si>
  <si>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</si>
  <si>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</si>
  <si>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</si>
  <si>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</si>
  <si>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</si>
  <si>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</si>
  <si>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</si>
  <si>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</si>
  <si>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</si>
  <si>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</si>
  <si>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</si>
  <si>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</si>
  <si>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</si>
  <si>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</si>
  <si>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</si>
  <si>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</si>
  <si>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</si>
  <si>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</si>
  <si>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</si>
  <si>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</si>
  <si>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</si>
  <si>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</si>
  <si>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</si>
  <si>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</si>
  <si>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</si>
  <si>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</si>
  <si>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</si>
  <si>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</si>
  <si>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</si>
  <si>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</si>
  <si>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</si>
  <si>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</si>
  <si>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</si>
  <si>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</si>
  <si>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</si>
  <si>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</si>
  <si>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</si>
  <si>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</si>
  <si>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</si>
  <si>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</si>
  <si>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</si>
  <si>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</si>
  <si>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</si>
  <si>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</si>
  <si>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</si>
  <si>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</si>
  <si>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</si>
  <si>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</si>
  <si>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</si>
  <si>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</si>
  <si>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</si>
  <si>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</si>
  <si>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</si>
  <si>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</si>
  <si>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</si>
  <si>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</si>
  <si>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</si>
  <si>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</si>
  <si>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</si>
  <si>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</si>
  <si>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</si>
  <si>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</si>
  <si>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</si>
  <si>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</si>
  <si>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</si>
  <si>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</si>
  <si>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</si>
  <si>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</si>
  <si>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</si>
  <si>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</si>
  <si>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</si>
  <si>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</si>
  <si>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</si>
  <si>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</si>
  <si>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</si>
  <si>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</si>
  <si>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</si>
  <si>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</si>
  <si>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</si>
  <si>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</si>
  <si>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</si>
  <si>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</si>
  <si>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</si>
  <si>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</si>
  <si>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</si>
  <si>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</si>
  <si>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</si>
  <si>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</si>
  <si>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</si>
  <si>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</si>
  <si>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</si>
  <si>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</si>
  <si>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</si>
  <si>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</si>
  <si>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</si>
  <si>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</si>
  <si>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</si>
  <si>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</si>
  <si>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</si>
  <si>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</si>
  <si>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</si>
  <si>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</si>
  <si>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</si>
  <si>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</si>
  <si>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</si>
  <si>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</si>
  <si>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</si>
  <si>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</si>
  <si>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</si>
  <si>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</si>
  <si>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</si>
  <si>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</si>
  <si>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</si>
  <si>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</si>
  <si>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</si>
  <si>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</si>
  <si>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</si>
  <si>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</si>
  <si>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</si>
  <si>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</si>
  <si>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</si>
  <si>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</si>
  <si>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</si>
  <si>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</si>
  <si>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</si>
  <si>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</si>
  <si>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</si>
  <si>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</si>
  <si>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</si>
  <si>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</si>
  <si>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</si>
  <si>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</si>
  <si>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</si>
  <si>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</si>
  <si>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</si>
  <si>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</si>
  <si>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</si>
  <si>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</si>
  <si>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</si>
  <si>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</si>
  <si>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</si>
  <si>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</si>
  <si>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</si>
  <si>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</si>
  <si>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</si>
  <si>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</si>
  <si>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</si>
  <si>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</si>
  <si>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</si>
  <si>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</si>
  <si>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</si>
  <si>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</si>
  <si>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</si>
  <si>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</si>
  <si>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</si>
  <si>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</si>
  <si>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</si>
  <si>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</si>
  <si>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</si>
  <si>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</si>
  <si>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</si>
  <si>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</si>
  <si>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</si>
  <si>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</si>
  <si>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</si>
  <si>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</si>
  <si>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</si>
  <si>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</si>
  <si>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</si>
  <si>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</si>
  <si>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</si>
  <si>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</si>
  <si>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</si>
  <si>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</si>
  <si>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</si>
  <si>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</si>
  <si>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</si>
  <si>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</si>
  <si>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</si>
  <si>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</si>
  <si>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</si>
  <si>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</si>
  <si>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</si>
  <si>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</si>
  <si>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</si>
  <si>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</si>
  <si>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</si>
  <si>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</si>
  <si>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</si>
  <si>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</si>
  <si>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</si>
  <si>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</si>
  <si>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</si>
  <si>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</si>
  <si>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</si>
  <si>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</si>
  <si>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</si>
  <si>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</si>
  <si>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</si>
  <si>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</si>
  <si>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</si>
  <si>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</si>
  <si>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</si>
  <si>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</si>
  <si>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</si>
  <si>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</si>
  <si>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</si>
  <si>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</si>
  <si>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</si>
  <si>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</si>
  <si>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</si>
  <si>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</si>
  <si>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</si>
  <si>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</si>
  <si>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</si>
  <si>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</si>
  <si>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</si>
  <si>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</si>
  <si>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</si>
  <si>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</si>
  <si>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</si>
  <si>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</si>
  <si>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</si>
  <si>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</si>
  <si>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</si>
  <si>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</si>
  <si>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</si>
  <si>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</si>
  <si>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</si>
  <si>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</si>
  <si>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</si>
  <si>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</si>
  <si>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</si>
  <si>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</si>
  <si>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</si>
  <si>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</si>
  <si>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</si>
  <si>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</si>
  <si>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</si>
  <si>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</si>
  <si>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</si>
  <si>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</si>
  <si>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</si>
  <si>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</si>
  <si>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</si>
  <si>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</si>
  <si>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</si>
  <si>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</si>
  <si>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</si>
  <si>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</si>
  <si>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</si>
  <si>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</si>
  <si>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</si>
  <si>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</si>
  <si>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</si>
  <si>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</si>
  <si>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</si>
  <si>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</si>
  <si>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</si>
  <si>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</si>
  <si>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</si>
  <si>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</si>
  <si>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</si>
  <si>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</si>
  <si>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</si>
  <si>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</si>
  <si>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</si>
  <si>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</si>
  <si>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</si>
  <si>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</si>
  <si>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</si>
  <si>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</si>
  <si>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</si>
  <si>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</si>
  <si>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</si>
  <si>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</si>
  <si>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</si>
  <si>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</si>
  <si>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</si>
  <si>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</si>
  <si>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</si>
  <si>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</si>
  <si>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</si>
  <si>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</si>
  <si>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</si>
  <si>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</si>
  <si>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</si>
  <si>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</si>
  <si>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</si>
  <si>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</si>
  <si>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</si>
  <si>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</si>
  <si>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</si>
  <si>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</si>
  <si>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</si>
  <si>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</si>
  <si>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</si>
  <si>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</si>
  <si>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</si>
  <si>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</si>
  <si>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</si>
  <si>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</si>
  <si>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</si>
  <si>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</si>
  <si>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</si>
  <si>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</si>
  <si>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</si>
  <si>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</si>
  <si>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</si>
  <si>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</si>
  <si>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</si>
  <si>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</si>
  <si>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</si>
  <si>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</si>
  <si>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</si>
  <si>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</si>
  <si>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</si>
  <si>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</si>
  <si>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</si>
  <si>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</si>
  <si>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</si>
  <si>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</si>
  <si>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</si>
  <si>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</si>
  <si>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</si>
  <si>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</si>
  <si>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</si>
  <si>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</si>
  <si>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</si>
  <si>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</si>
  <si>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</si>
  <si>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</si>
  <si>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</si>
  <si>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</si>
  <si>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</si>
  <si>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</si>
  <si>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</si>
  <si>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</si>
  <si>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</si>
  <si>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</si>
  <si>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</si>
  <si>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</si>
  <si>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</si>
  <si>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</si>
  <si>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</si>
  <si>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</si>
  <si>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</si>
  <si>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</si>
  <si>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</si>
  <si>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</si>
  <si>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</si>
  <si>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</si>
  <si>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</si>
  <si>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</si>
  <si>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</si>
  <si>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</si>
  <si>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</si>
  <si>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</si>
  <si>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</si>
  <si>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</si>
  <si>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</si>
  <si>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</si>
  <si>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</si>
  <si>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</si>
  <si>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</si>
  <si>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</si>
  <si>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</si>
  <si>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</si>
  <si>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</si>
  <si>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</si>
  <si>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</si>
  <si>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</si>
  <si>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</si>
  <si>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</si>
  <si>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</si>
  <si>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</si>
  <si>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</si>
  <si>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</si>
  <si>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</si>
  <si>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</si>
  <si>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</si>
  <si>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</si>
  <si>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</si>
  <si>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</si>
  <si>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</si>
  <si>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</si>
  <si>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</si>
  <si>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</si>
  <si>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</si>
  <si>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</si>
  <si>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</si>
  <si>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</si>
  <si>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</si>
  <si>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</si>
  <si>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</si>
  <si>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</si>
  <si>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</si>
  <si>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</si>
  <si>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</si>
  <si>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</si>
  <si>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</si>
  <si>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</si>
  <si>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</si>
  <si>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</si>
  <si>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</si>
  <si>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</si>
  <si>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</si>
  <si>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</si>
  <si>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</si>
  <si>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</si>
  <si>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</si>
  <si>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</si>
  <si>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</si>
  <si>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</si>
  <si>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</si>
  <si>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</si>
  <si>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</si>
  <si>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</si>
  <si>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</si>
  <si>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</si>
  <si>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</si>
  <si>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</si>
  <si>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</si>
  <si>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</si>
  <si>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</si>
  <si>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</si>
  <si>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</si>
  <si>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</si>
  <si>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</si>
  <si>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</si>
  <si>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</si>
  <si>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</si>
  <si>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</si>
  <si>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</si>
  <si>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</si>
  <si>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</si>
  <si>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</si>
  <si>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</si>
  <si>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</si>
  <si>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</si>
  <si>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</si>
  <si>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</si>
  <si>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</si>
  <si>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</si>
  <si>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</si>
  <si>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</si>
  <si>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</si>
  <si>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</si>
  <si>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</si>
  <si>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</si>
  <si>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</si>
  <si>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</si>
  <si>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</si>
  <si>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</si>
  <si>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</si>
  <si>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</si>
  <si>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</si>
  <si>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</si>
  <si>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</si>
  <si>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</si>
  <si>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</si>
  <si>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</si>
  <si>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</si>
  <si>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</si>
  <si>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</si>
  <si>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</si>
  <si>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</si>
  <si>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</si>
  <si>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</si>
  <si>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</si>
  <si>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</si>
  <si>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</si>
  <si>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</si>
  <si>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</si>
  <si>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</si>
  <si>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</si>
  <si>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</si>
  <si>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</si>
  <si>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</si>
  <si>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</si>
  <si>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</si>
  <si>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</si>
  <si>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</si>
  <si>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</si>
  <si>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</si>
  <si>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</si>
  <si>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</si>
  <si>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</si>
  <si>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</si>
  <si>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</si>
  <si>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</si>
  <si>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</si>
  <si>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</si>
  <si>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</si>
  <si>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</si>
  <si>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</si>
  <si>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</si>
  <si>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</si>
  <si>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</si>
  <si>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</si>
  <si>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</si>
  <si>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</si>
  <si>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</si>
  <si>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</si>
  <si>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</si>
  <si>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</si>
  <si>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</si>
  <si>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</si>
  <si>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</si>
  <si>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</si>
  <si>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</si>
  <si>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</si>
  <si>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</si>
  <si>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</si>
  <si>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</si>
  <si>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</si>
  <si>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</si>
  <si>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</si>
  <si>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</si>
  <si>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</si>
  <si>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</si>
  <si>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</si>
  <si>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</si>
  <si>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</si>
  <si>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</si>
  <si>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</si>
  <si>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</si>
  <si>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</si>
  <si>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</si>
  <si>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</si>
  <si>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</si>
  <si>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</si>
  <si>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</si>
  <si>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</si>
  <si>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</si>
  <si>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</si>
  <si>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</si>
  <si>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</si>
  <si>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</si>
  <si>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</si>
  <si>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</si>
  <si>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</si>
  <si>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</si>
  <si>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</si>
  <si>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</si>
  <si>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</si>
  <si>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</si>
  <si>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</si>
  <si>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</si>
  <si>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</si>
  <si>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</si>
  <si>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</si>
  <si>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</si>
  <si>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</si>
  <si>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</si>
  <si>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</si>
  <si>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</si>
  <si>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</si>
  <si>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</si>
  <si>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</si>
  <si>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</si>
  <si>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</si>
  <si>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</si>
  <si>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</si>
  <si>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</si>
  <si>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</si>
  <si>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</si>
  <si>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</si>
  <si>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</si>
  <si>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</si>
  <si>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</si>
  <si>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</si>
  <si>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</si>
  <si>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</si>
  <si>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</si>
  <si>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</si>
  <si>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</si>
  <si>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</si>
  <si>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</si>
  <si>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</si>
  <si>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</si>
  <si>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</si>
  <si>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</si>
  <si>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</si>
  <si>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</si>
  <si>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</si>
  <si>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</si>
  <si>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</si>
  <si>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</si>
  <si>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</si>
  <si>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</si>
  <si>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</si>
  <si>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</si>
  <si>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</si>
  <si>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</si>
  <si>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</si>
  <si>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</si>
  <si>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</si>
  <si>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</si>
  <si>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</si>
  <si>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</si>
  <si>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</si>
  <si>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</si>
  <si>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</si>
  <si>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</si>
  <si>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</si>
  <si>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</si>
  <si>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</si>
  <si>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</si>
  <si>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</si>
  <si>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</si>
  <si>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</si>
  <si>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</si>
  <si>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</si>
  <si>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</si>
  <si>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</si>
  <si>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</si>
  <si>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</si>
  <si>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</si>
  <si>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</si>
  <si>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</si>
  <si>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</si>
  <si>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</si>
  <si>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</si>
  <si>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</si>
  <si>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</si>
  <si>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</si>
  <si>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</si>
  <si>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</si>
  <si>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</si>
  <si>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</si>
  <si>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</si>
  <si>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</si>
  <si>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</si>
  <si>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</si>
  <si>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</si>
  <si>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</si>
  <si>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</si>
  <si>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</si>
  <si>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</si>
  <si>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</si>
  <si>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</si>
  <si>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</si>
  <si>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</si>
  <si>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</si>
  <si>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</si>
  <si>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</si>
  <si>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</si>
  <si>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</si>
  <si>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</si>
  <si>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</si>
  <si>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</si>
  <si>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</si>
  <si>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</si>
  <si>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</si>
  <si>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</si>
  <si>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</si>
  <si>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</si>
  <si>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</si>
  <si>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</si>
  <si>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</si>
  <si>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</si>
  <si>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</si>
  <si>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</si>
  <si>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</si>
  <si>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</si>
  <si>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</si>
  <si>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</si>
  <si>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</si>
  <si>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</si>
  <si>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</si>
  <si>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</si>
  <si>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</si>
  <si>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</si>
  <si>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</si>
  <si>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</si>
  <si>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</si>
  <si>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</si>
  <si>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</si>
  <si>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</si>
  <si>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</si>
  <si>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</si>
  <si>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</si>
  <si>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</si>
  <si>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</si>
  <si>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</si>
  <si>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</si>
  <si>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</si>
  <si>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</si>
  <si>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</si>
  <si>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</si>
  <si>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</si>
  <si>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</si>
  <si>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</si>
  <si>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</si>
  <si>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</si>
  <si>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</si>
  <si>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</si>
  <si>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</si>
  <si>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</si>
  <si>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</si>
  <si>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</si>
  <si>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</si>
  <si>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</si>
  <si>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</si>
  <si>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</si>
  <si>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</si>
  <si>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</si>
  <si>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</si>
  <si>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</si>
  <si>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</si>
  <si>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</si>
  <si>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</si>
  <si>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</si>
  <si>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</si>
  <si>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</si>
  <si>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</si>
  <si>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</si>
  <si>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</si>
  <si>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</si>
  <si>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</si>
  <si>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</si>
  <si>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</si>
  <si>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</si>
  <si>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</si>
  <si>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</si>
  <si>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</si>
  <si>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</si>
  <si>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</si>
  <si>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</si>
  <si>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</si>
  <si>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</si>
  <si>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</si>
  <si>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</si>
  <si>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</si>
  <si>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</si>
  <si>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</si>
  <si>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</si>
  <si>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</si>
  <si>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</si>
  <si>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</si>
  <si>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</si>
  <si>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</si>
  <si>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</si>
  <si>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</si>
  <si>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</si>
  <si>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</si>
  <si>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</si>
  <si>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</si>
  <si>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</si>
  <si>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</si>
  <si>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</si>
  <si>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</si>
  <si>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</si>
  <si>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</si>
  <si>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</si>
  <si>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</si>
  <si>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</si>
  <si>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</si>
  <si>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</si>
  <si>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</si>
  <si>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</si>
  <si>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</si>
  <si>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</si>
  <si>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</si>
  <si>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</si>
  <si>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</si>
  <si>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</si>
  <si>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</si>
  <si>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</si>
  <si>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</si>
  <si>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</si>
  <si>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</si>
  <si>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</si>
  <si>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</si>
  <si>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</si>
  <si>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</si>
  <si>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</si>
  <si>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</si>
  <si>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</si>
  <si>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</si>
  <si>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</si>
  <si>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</si>
  <si>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</si>
  <si>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</si>
  <si>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</si>
  <si>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</si>
  <si>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</si>
  <si>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</si>
  <si>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</si>
  <si>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</si>
  <si>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</si>
  <si>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</si>
  <si>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</si>
  <si>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</si>
  <si>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</si>
  <si>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</si>
  <si>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</si>
  <si>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</si>
  <si>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</si>
  <si>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</si>
  <si>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</si>
  <si>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</si>
  <si>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</si>
  <si>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</si>
  <si>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</si>
  <si>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</si>
  <si>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</si>
  <si>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</si>
  <si>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</si>
  <si>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</si>
  <si>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</si>
  <si>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</si>
  <si>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</si>
  <si>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</si>
  <si>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</si>
  <si>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</si>
  <si>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</si>
  <si>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</si>
  <si>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</si>
  <si>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</si>
  <si>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</si>
  <si>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</si>
  <si>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</si>
  <si>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</si>
  <si>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</si>
  <si>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</si>
  <si>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</si>
  <si>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</si>
  <si>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</si>
  <si>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</si>
  <si>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</si>
  <si>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</si>
  <si>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</si>
  <si>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</si>
  <si>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</si>
  <si>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</si>
  <si>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</si>
  <si>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</si>
  <si>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</si>
  <si>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</si>
  <si>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</si>
  <si>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</si>
  <si>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</si>
  <si>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</si>
  <si>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</si>
  <si>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</si>
  <si>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</si>
  <si>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</si>
  <si>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</si>
  <si>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</si>
  <si>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</si>
  <si>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</si>
  <si>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</si>
  <si>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</si>
  <si>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</si>
  <si>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</si>
  <si>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</si>
  <si>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</si>
  <si>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</si>
  <si>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</si>
  <si>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</si>
  <si>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</si>
  <si>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</si>
  <si>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</si>
  <si>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</si>
  <si>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</si>
  <si>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</si>
  <si>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</si>
  <si>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</si>
  <si>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</si>
  <si>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</si>
  <si>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</si>
  <si>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</si>
  <si>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</si>
  <si>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</si>
  <si>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</si>
  <si>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</si>
  <si>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</si>
  <si>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</si>
  <si>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</si>
  <si>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</si>
  <si>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</si>
  <si>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</si>
  <si>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</si>
  <si>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</si>
  <si>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</si>
  <si>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</si>
  <si>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</si>
  <si>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</si>
  <si>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</si>
  <si>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</si>
  <si>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</si>
  <si>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</si>
  <si>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</si>
  <si>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</si>
  <si>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</si>
  <si>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</si>
  <si>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</si>
  <si>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</si>
  <si>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</si>
  <si>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</si>
  <si>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</si>
  <si>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</si>
  <si>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</si>
  <si>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</si>
  <si>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</si>
  <si>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</si>
  <si>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</si>
  <si>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</si>
  <si>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</si>
  <si>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</si>
  <si>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</si>
  <si>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</si>
  <si>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</si>
  <si>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</si>
  <si>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</si>
  <si>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</si>
  <si>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</si>
  <si>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</si>
  <si>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</si>
  <si>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</si>
  <si>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</si>
  <si>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</si>
  <si>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</si>
  <si>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</si>
  <si>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</si>
  <si>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</si>
  <si>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</si>
  <si>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</si>
  <si>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</si>
  <si>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</si>
  <si>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</si>
  <si>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</si>
  <si>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</si>
  <si>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</si>
  <si>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</si>
  <si>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</si>
  <si>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</si>
  <si>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</si>
  <si>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</si>
  <si>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</si>
  <si>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</si>
  <si>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</si>
  <si>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</si>
  <si>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</si>
  <si>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</si>
  <si>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</si>
  <si>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</si>
  <si>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</si>
  <si>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</si>
  <si>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</si>
  <si>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</si>
  <si>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</si>
  <si>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</si>
  <si>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</si>
  <si>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</si>
  <si>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</si>
  <si>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</si>
  <si>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</si>
  <si>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</si>
  <si>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</si>
  <si>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</si>
  <si>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</si>
  <si>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</si>
  <si>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</si>
  <si>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</si>
  <si>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</si>
  <si>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</si>
  <si>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</si>
  <si>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</si>
  <si>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</si>
  <si>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</si>
  <si>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</si>
  <si>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</si>
  <si>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</si>
  <si>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</si>
  <si>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</si>
  <si>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</si>
  <si>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</si>
  <si>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</si>
  <si>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</si>
  <si>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</si>
  <si>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</si>
  <si>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</si>
  <si>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</si>
  <si>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</si>
  <si>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</si>
  <si>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</si>
  <si>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</si>
  <si>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</si>
  <si>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</si>
  <si>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</si>
  <si>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</si>
  <si>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</si>
  <si>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</si>
  <si>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</si>
  <si>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</si>
  <si>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</si>
  <si>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</si>
  <si>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</si>
  <si>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</si>
  <si>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</si>
  <si>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</si>
  <si>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</si>
  <si>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</si>
  <si>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</si>
  <si>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</si>
  <si>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</si>
  <si>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</si>
  <si>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</si>
  <si>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</si>
  <si>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</si>
  <si>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</si>
  <si>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</si>
  <si>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</si>
  <si>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</si>
  <si>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</si>
  <si>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</si>
  <si>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</si>
  <si>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</si>
  <si>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</si>
  <si>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</si>
  <si>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</si>
  <si>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</si>
  <si>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</si>
  <si>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</si>
  <si>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</si>
  <si>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</si>
  <si>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</si>
  <si>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</si>
  <si>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</si>
  <si>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</si>
  <si>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</si>
  <si>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</si>
  <si>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</si>
  <si>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</si>
  <si>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</si>
  <si>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</si>
  <si>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</si>
  <si>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</si>
  <si>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</si>
  <si>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</si>
  <si>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</si>
  <si>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</si>
  <si>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</si>
  <si>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</si>
  <si>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</si>
  <si>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</si>
  <si>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</si>
  <si>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</si>
  <si>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</si>
  <si>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</si>
  <si>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</si>
  <si>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</si>
  <si>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</si>
  <si>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</si>
  <si>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</si>
  <si>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</si>
  <si>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</si>
  <si>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</si>
  <si>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</si>
  <si>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</si>
  <si>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</si>
  <si>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</si>
  <si>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</si>
  <si>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</si>
  <si>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</si>
  <si>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</si>
  <si>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</si>
  <si>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</si>
  <si>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</si>
  <si>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</si>
  <si>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</si>
  <si>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</si>
  <si>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</si>
  <si>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</si>
  <si>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</si>
  <si>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</si>
  <si>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</si>
  <si>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</si>
  <si>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</si>
  <si>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</si>
  <si>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</si>
  <si>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</si>
  <si>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</si>
  <si>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</si>
  <si>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</si>
  <si>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</si>
  <si>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</si>
  <si>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</si>
  <si>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</si>
  <si>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</si>
  <si>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</si>
  <si>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</si>
  <si>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</si>
  <si>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</si>
  <si>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</si>
  <si>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</si>
  <si>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</si>
  <si>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</si>
  <si>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</si>
  <si>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</si>
  <si>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</si>
  <si>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</si>
  <si>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</si>
  <si>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</si>
  <si>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</si>
  <si>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</si>
  <si>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</si>
  <si>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</si>
  <si>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</si>
  <si>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</si>
  <si>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</si>
  <si>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</si>
  <si>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</si>
  <si>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</si>
  <si>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</si>
  <si>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</si>
  <si>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</si>
  <si>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</si>
  <si>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</si>
  <si>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</si>
  <si>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</si>
  <si>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</si>
  <si>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</si>
  <si>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</si>
  <si>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</si>
  <si>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</si>
  <si>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</si>
  <si>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</si>
  <si>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</si>
  <si>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</si>
  <si>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</si>
  <si>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</si>
  <si>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</si>
  <si>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</si>
  <si>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</si>
  <si>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</si>
  <si>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</si>
  <si>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</si>
  <si>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</si>
  <si>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</si>
  <si>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</si>
  <si>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</si>
  <si>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</si>
  <si>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</si>
  <si>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</si>
  <si>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</si>
  <si>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</si>
  <si>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</si>
  <si>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</si>
  <si>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</si>
  <si>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</si>
  <si>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</si>
  <si>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</si>
  <si>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</si>
  <si>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</si>
  <si>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</si>
  <si>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</si>
  <si>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</si>
  <si>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</si>
  <si>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</si>
  <si>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</si>
  <si>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</si>
  <si>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</si>
  <si>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</si>
  <si>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</si>
  <si>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</si>
  <si>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</si>
  <si>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</si>
  <si>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</si>
  <si>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</si>
  <si>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</si>
  <si>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</si>
  <si>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</si>
  <si>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</si>
  <si>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</si>
  <si>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</si>
  <si>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</si>
  <si>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</si>
  <si>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</si>
  <si>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</si>
  <si>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</si>
  <si>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</si>
  <si>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</si>
  <si>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</si>
  <si>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</si>
  <si>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</si>
  <si>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</si>
  <si>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</si>
  <si>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</si>
  <si>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</si>
  <si>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</si>
  <si>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</si>
  <si>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</si>
  <si>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</si>
  <si>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</si>
  <si>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</si>
  <si>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</si>
  <si>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</si>
  <si>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</si>
  <si>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</si>
  <si>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</si>
  <si>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</si>
  <si>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</si>
  <si>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</si>
  <si>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</si>
  <si>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</si>
  <si>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</si>
  <si>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</si>
  <si>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</si>
  <si>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</si>
  <si>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</si>
  <si>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</si>
  <si>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</si>
  <si>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</si>
  <si>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</si>
  <si>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</si>
  <si>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</si>
  <si>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</si>
  <si>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</si>
  <si>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</si>
  <si>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</si>
  <si>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</si>
  <si>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</si>
  <si>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</si>
  <si>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</si>
  <si>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</si>
  <si>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</si>
  <si>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</si>
  <si>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</si>
  <si>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</si>
  <si>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</si>
  <si>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</si>
  <si>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</si>
  <si>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</si>
  <si>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</si>
  <si>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</si>
  <si>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</si>
  <si>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</si>
  <si>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</si>
  <si>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</si>
  <si>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</si>
  <si>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</si>
  <si>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</si>
  <si>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</si>
  <si>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</si>
  <si>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</si>
  <si>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</si>
  <si>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</si>
  <si>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</si>
  <si>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</si>
  <si>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</si>
  <si>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</si>
  <si>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</si>
  <si>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</si>
  <si>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</si>
  <si>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</si>
  <si>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</si>
  <si>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</si>
  <si>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</si>
  <si>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</si>
  <si>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</si>
  <si>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</si>
  <si>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</si>
  <si>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</si>
  <si>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</si>
  <si>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</si>
  <si>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</si>
  <si>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</si>
  <si>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</si>
  <si>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</si>
  <si>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</si>
  <si>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</si>
  <si>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</si>
  <si>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</si>
  <si>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</si>
  <si>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</si>
  <si>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</si>
  <si>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</si>
  <si>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</si>
  <si>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</si>
  <si>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</si>
  <si>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</si>
  <si>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</si>
  <si>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</si>
  <si>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</si>
  <si>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</si>
  <si>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</si>
  <si>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</si>
  <si>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</si>
  <si>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</si>
  <si>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</si>
  <si>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</si>
  <si>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</si>
  <si>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</si>
  <si>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</si>
  <si>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</si>
  <si>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</si>
  <si>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</si>
  <si>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</si>
  <si>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</si>
  <si>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</si>
  <si>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</si>
  <si>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</si>
  <si>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</si>
  <si>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</si>
  <si>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</si>
  <si>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</si>
  <si>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</si>
  <si>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</si>
  <si>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</si>
  <si>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</si>
  <si>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</si>
  <si>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</si>
  <si>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</si>
  <si>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</si>
  <si>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</si>
  <si>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</si>
  <si>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</si>
  <si>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</si>
  <si>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</si>
  <si>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</si>
  <si>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</si>
  <si>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</si>
  <si>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</si>
  <si>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</si>
  <si>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</si>
  <si>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</si>
  <si>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</si>
  <si>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</si>
  <si>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</si>
  <si>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</si>
  <si>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</si>
  <si>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</si>
  <si>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</si>
  <si>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</si>
  <si>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</si>
  <si>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</si>
  <si>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</si>
  <si>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</si>
  <si>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</si>
  <si>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</si>
  <si>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</si>
  <si>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</si>
  <si>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</si>
  <si>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</si>
  <si>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</si>
  <si>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</si>
  <si>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</si>
  <si>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</si>
  <si>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</si>
  <si>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</si>
  <si>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</si>
  <si>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</si>
  <si>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</si>
  <si>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</si>
  <si>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</si>
  <si>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</si>
  <si>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</si>
  <si>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</si>
  <si>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</si>
  <si>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</si>
  <si>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</si>
  <si>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</si>
  <si>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</si>
  <si>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</si>
  <si>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</si>
  <si>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</si>
  <si>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</si>
  <si>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</si>
  <si>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</si>
  <si>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</si>
  <si>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</si>
  <si>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</si>
  <si>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</si>
  <si>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</si>
  <si>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</si>
  <si>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</si>
  <si>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</si>
  <si>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</si>
  <si>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</si>
  <si>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</si>
  <si>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</si>
  <si>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</si>
  <si>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</si>
  <si>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</si>
  <si>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</si>
  <si>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</si>
  <si>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</si>
  <si>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</si>
  <si>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</si>
  <si>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</si>
  <si>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</si>
  <si>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</si>
  <si>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</si>
  <si>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</si>
  <si>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</si>
  <si>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</si>
  <si>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</si>
  <si>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</si>
  <si>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</si>
  <si>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</si>
  <si>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</si>
  <si>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</si>
  <si>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</si>
  <si>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</si>
  <si>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</si>
  <si>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</si>
  <si>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</si>
  <si>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</si>
  <si>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</si>
  <si>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</si>
  <si>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</si>
  <si>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</si>
  <si>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</si>
  <si>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</si>
  <si>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</si>
  <si>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</si>
  <si>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</si>
  <si>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</si>
  <si>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</si>
  <si>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</si>
  <si>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</si>
  <si>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</si>
  <si>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</si>
  <si>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</si>
  <si>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</si>
  <si>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</si>
  <si>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</si>
  <si>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</si>
  <si>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</si>
  <si>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</si>
  <si>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</si>
  <si>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</si>
  <si>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</si>
  <si>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</si>
  <si>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</si>
  <si>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</si>
  <si>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</si>
  <si>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</si>
  <si>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</si>
  <si>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</si>
  <si>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</si>
  <si>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</si>
  <si>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</si>
  <si>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</si>
  <si>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</si>
  <si>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</si>
  <si>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</si>
  <si>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</si>
  <si>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</si>
  <si>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</si>
  <si>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</si>
  <si>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</si>
  <si>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</si>
  <si>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</si>
  <si>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</si>
  <si>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</si>
  <si>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</si>
  <si>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</si>
  <si>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</si>
  <si>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</si>
  <si>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</si>
  <si>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</si>
  <si>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</si>
  <si>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</si>
  <si>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</si>
  <si>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</si>
  <si>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</si>
  <si>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</si>
  <si>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</si>
  <si>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</si>
  <si>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</si>
  <si>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</si>
  <si>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</si>
  <si>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</si>
  <si>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</si>
  <si>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</si>
  <si>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</si>
  <si>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</si>
  <si>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</si>
  <si>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</si>
  <si>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</si>
  <si>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</si>
  <si>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</si>
  <si>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</si>
  <si>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</si>
  <si>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</si>
  <si>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</si>
  <si>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</si>
  <si>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</si>
  <si>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</si>
  <si>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</si>
  <si>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</si>
  <si>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</si>
  <si>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</si>
  <si>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</si>
  <si>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</si>
  <si>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</si>
  <si>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</si>
  <si>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</si>
  <si>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</si>
  <si>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</si>
  <si>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</si>
  <si>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</si>
  <si>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</si>
  <si>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</si>
  <si>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</si>
  <si>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</si>
  <si>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</si>
  <si>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</si>
  <si>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</si>
  <si>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</si>
  <si>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</si>
  <si>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</si>
  <si>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</si>
  <si>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</si>
  <si>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</si>
  <si>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</si>
  <si>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</si>
  <si>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</si>
  <si>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</si>
  <si>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</si>
  <si>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</si>
  <si>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</si>
  <si>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</si>
  <si>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</si>
  <si>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</si>
  <si>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</si>
  <si>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</si>
  <si>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</si>
  <si>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</si>
  <si>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</si>
  <si>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</si>
  <si>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</si>
  <si>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</si>
  <si>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</si>
  <si>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</si>
  <si>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</si>
  <si>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</si>
  <si>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</si>
  <si>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</si>
  <si>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</si>
  <si>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</si>
  <si>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</si>
  <si>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</si>
  <si>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</si>
  <si>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</si>
  <si>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</si>
  <si>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</si>
  <si>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</si>
  <si>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</si>
  <si>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</si>
  <si>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</si>
  <si>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</si>
  <si>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</si>
  <si>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</si>
  <si>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</si>
  <si>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</si>
  <si>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</si>
  <si>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</si>
  <si>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</si>
  <si>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</si>
  <si>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</si>
  <si>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</si>
  <si>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</si>
  <si>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</si>
  <si>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</si>
  <si>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</si>
  <si>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</si>
  <si>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</si>
  <si>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</si>
  <si>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</si>
  <si>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</si>
  <si>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</si>
  <si>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</si>
  <si>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</si>
  <si>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</si>
  <si>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</si>
  <si>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</si>
  <si>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</si>
  <si>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</si>
  <si>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</si>
  <si>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</si>
  <si>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</si>
  <si>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</si>
  <si>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</si>
  <si>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</si>
  <si>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</si>
  <si>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</si>
  <si>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</si>
  <si>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</si>
  <si>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</si>
  <si>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</si>
  <si>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</si>
  <si>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</si>
  <si>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</si>
  <si>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</si>
  <si>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</si>
  <si>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</si>
  <si>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</si>
  <si>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</si>
  <si>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</si>
  <si>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</si>
  <si>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</si>
  <si>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</si>
  <si>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</si>
  <si>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</si>
  <si>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</si>
  <si>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</si>
  <si>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</si>
  <si>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</si>
  <si>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</si>
  <si>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</si>
  <si>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</si>
  <si>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</si>
  <si>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</si>
  <si>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</si>
  <si>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</si>
  <si>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</si>
  <si>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</si>
  <si>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</si>
  <si>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</si>
  <si>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</si>
  <si>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</si>
  <si>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</si>
  <si>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</si>
  <si>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</si>
  <si>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</si>
  <si>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</si>
  <si>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</si>
  <si>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</si>
  <si>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</si>
  <si>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</si>
  <si>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</si>
  <si>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</si>
  <si>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</si>
  <si>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</si>
  <si>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</si>
  <si>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</si>
  <si>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</si>
  <si>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</si>
  <si>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</si>
  <si>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</si>
  <si>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</si>
  <si>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</si>
  <si>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</si>
  <si>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</si>
  <si>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</si>
  <si>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</si>
  <si>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</si>
  <si>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</si>
  <si>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</si>
  <si>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</si>
  <si>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</si>
  <si>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</si>
  <si>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</si>
  <si>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</si>
  <si>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</si>
  <si>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</si>
  <si>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</si>
  <si>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</si>
  <si>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</si>
  <si>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</si>
  <si>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</si>
  <si>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</si>
  <si>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</si>
  <si>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</si>
  <si>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</si>
  <si>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</si>
  <si>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</si>
  <si>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</si>
  <si>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</si>
  <si>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</si>
  <si>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</si>
  <si>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</si>
  <si>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</si>
  <si>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</si>
  <si>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</si>
  <si>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</si>
  <si>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</si>
  <si>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</si>
  <si>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</si>
  <si>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</si>
  <si>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</si>
  <si>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</si>
  <si>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</si>
  <si>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</si>
  <si>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</si>
  <si>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</si>
  <si>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</si>
  <si>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</si>
  <si>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</si>
  <si>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</si>
  <si>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</si>
  <si>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</si>
  <si>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</si>
  <si>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</si>
  <si>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</si>
  <si>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</si>
  <si>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</si>
  <si>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</si>
  <si>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</si>
  <si>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</si>
  <si>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</si>
  <si>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</si>
  <si>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</si>
  <si>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</si>
  <si>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</si>
  <si>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</si>
  <si>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</si>
  <si>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</si>
  <si>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</si>
  <si>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</si>
  <si>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</si>
  <si>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</si>
  <si>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</si>
  <si>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</si>
  <si>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</si>
  <si>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</si>
  <si>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</si>
  <si>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</si>
  <si>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</si>
  <si>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</si>
  <si>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</si>
  <si>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</si>
  <si>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</si>
  <si>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</si>
  <si>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</si>
  <si>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</si>
  <si>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</si>
  <si>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</si>
  <si>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</si>
  <si>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</si>
  <si>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</si>
  <si>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</si>
  <si>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</si>
  <si>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</si>
  <si>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</si>
  <si>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</si>
  <si>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</si>
  <si>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</si>
  <si>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</si>
  <si>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</si>
  <si>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</si>
  <si>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</si>
  <si>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</si>
  <si>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</si>
  <si>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</si>
  <si>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</si>
  <si>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</si>
  <si>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</si>
  <si>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</si>
  <si>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</si>
  <si>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</si>
  <si>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</si>
  <si>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</si>
  <si>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</si>
  <si>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</si>
  <si>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</si>
  <si>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</si>
  <si>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</si>
  <si>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</si>
  <si>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</si>
  <si>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</si>
  <si>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</si>
  <si>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</si>
  <si>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</si>
  <si>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</si>
  <si>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</si>
  <si>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</si>
  <si>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</si>
  <si>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</si>
  <si>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</si>
  <si>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</si>
  <si>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</si>
  <si>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</si>
  <si>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</si>
  <si>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</si>
  <si>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</si>
  <si>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</si>
  <si>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</si>
  <si>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</si>
  <si>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</si>
  <si>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</si>
  <si>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</si>
  <si>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</si>
  <si>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</si>
  <si>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</si>
  <si>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</si>
  <si>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</si>
  <si>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</si>
  <si>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</si>
  <si>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</si>
  <si>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</si>
  <si>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</si>
  <si>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</si>
  <si>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</si>
  <si>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</si>
  <si>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</si>
  <si>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</si>
  <si>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</si>
  <si>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</si>
  <si>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</si>
  <si>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</si>
  <si>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</si>
  <si>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</si>
  <si>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</si>
  <si>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</si>
  <si>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</si>
  <si>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</si>
  <si>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</si>
  <si>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</si>
  <si>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</si>
  <si>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</si>
  <si>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</si>
  <si>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</si>
  <si>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</si>
  <si>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</si>
  <si>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</si>
  <si>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</si>
  <si>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</si>
  <si>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</si>
  <si>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</si>
  <si>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</si>
  <si>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</si>
  <si>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</si>
  <si>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</si>
  <si>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</si>
  <si>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</si>
  <si>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</si>
  <si>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</si>
  <si>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</si>
  <si>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</si>
  <si>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</si>
  <si>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</si>
  <si>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</si>
  <si>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</si>
  <si>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</si>
  <si>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</si>
  <si>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</si>
  <si>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</si>
  <si>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</si>
  <si>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</si>
  <si>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</si>
  <si>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</si>
  <si>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</si>
  <si>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</si>
  <si>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</si>
  <si>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</si>
  <si>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</si>
  <si>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</si>
  <si>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</si>
  <si>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</si>
  <si>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</si>
  <si>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</si>
  <si>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</si>
  <si>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</si>
  <si>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</si>
  <si>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</si>
  <si>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</si>
  <si>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</si>
  <si>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</si>
  <si>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</si>
  <si>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</si>
  <si>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</si>
  <si>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</si>
  <si>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</si>
  <si>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</si>
  <si>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</si>
  <si>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</si>
  <si>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</si>
  <si>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</si>
  <si>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</si>
  <si>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</si>
  <si>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</si>
  <si>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</si>
  <si>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</si>
  <si>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</si>
  <si>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</si>
  <si>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</si>
  <si>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</si>
  <si>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</si>
  <si>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</si>
  <si>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</si>
  <si>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</si>
  <si>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</si>
  <si>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</si>
  <si>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</si>
  <si>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</si>
  <si>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</si>
  <si>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</si>
  <si>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</si>
  <si>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</si>
  <si>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</si>
  <si>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</si>
  <si>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</si>
  <si>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</si>
  <si>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</si>
  <si>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</si>
  <si>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</si>
  <si>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</si>
  <si>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</si>
  <si>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</si>
  <si>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</si>
  <si>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</si>
  <si>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</si>
  <si>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</si>
  <si>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</si>
  <si>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</si>
  <si>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</si>
  <si>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</si>
  <si>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</si>
  <si>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</si>
  <si>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</si>
  <si>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</si>
  <si>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</si>
  <si>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</si>
  <si>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</si>
  <si>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</si>
  <si>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</si>
  <si>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</si>
  <si>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</si>
  <si>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</si>
  <si>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</si>
  <si>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</si>
  <si>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</si>
  <si>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</si>
  <si>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</si>
  <si>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</si>
  <si>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</si>
  <si>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</si>
  <si>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</si>
  <si>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</si>
  <si>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</si>
  <si>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</si>
  <si>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</si>
  <si>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</si>
  <si>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</si>
  <si>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</si>
  <si>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</si>
  <si>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</si>
  <si>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</si>
  <si>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</si>
  <si>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</si>
  <si>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</si>
  <si>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</si>
  <si>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</si>
  <si>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</si>
  <si>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</si>
  <si>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</si>
  <si>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</si>
  <si>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</si>
  <si>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</si>
  <si>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</si>
  <si>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</si>
  <si>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</si>
  <si>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</si>
  <si>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</si>
  <si>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</si>
  <si>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</si>
  <si>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</si>
  <si>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</si>
  <si>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</si>
  <si>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</si>
  <si>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</si>
  <si>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</si>
  <si>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</si>
  <si>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</si>
  <si>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</si>
  <si>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</si>
  <si>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</si>
  <si>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</si>
  <si>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</si>
  <si>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</si>
  <si>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</si>
  <si>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</si>
  <si>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</si>
  <si>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</si>
  <si>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</si>
  <si>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</si>
  <si>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</si>
  <si>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</si>
  <si>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</si>
  <si>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</si>
  <si>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</si>
  <si>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</si>
  <si>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</si>
  <si>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</si>
  <si>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</si>
  <si>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</si>
  <si>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</si>
  <si>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</si>
  <si>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</si>
  <si>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</si>
  <si>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</si>
  <si>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</si>
  <si>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</si>
  <si>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</si>
  <si>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</si>
  <si>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</si>
  <si>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</si>
  <si>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</si>
  <si>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</si>
  <si>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</si>
  <si>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</si>
  <si>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</si>
  <si>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</si>
  <si>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</si>
  <si>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</si>
  <si>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</si>
  <si>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</si>
  <si>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</si>
  <si>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</si>
  <si>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</si>
  <si>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</si>
  <si>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</si>
  <si>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</si>
  <si>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</si>
  <si>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</si>
  <si>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</si>
  <si>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</si>
  <si>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</si>
  <si>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</si>
  <si>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</si>
  <si>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</si>
  <si>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</si>
  <si>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</si>
  <si>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</si>
  <si>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</si>
  <si>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</si>
  <si>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</si>
  <si>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</si>
  <si>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</si>
  <si>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</si>
  <si>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</si>
  <si>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</si>
  <si>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</si>
  <si>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</si>
  <si>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</si>
  <si>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</si>
  <si>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</si>
  <si>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</si>
  <si>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</si>
  <si>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</si>
  <si>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</si>
  <si>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</si>
  <si>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</si>
  <si>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</si>
  <si>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</si>
  <si>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</si>
  <si>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</si>
  <si>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</si>
  <si>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</si>
  <si>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</si>
  <si>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</si>
  <si>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</si>
  <si>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</si>
  <si>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</si>
  <si>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</si>
  <si>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</si>
  <si>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</si>
  <si>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</si>
  <si>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</si>
  <si>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</si>
  <si>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</si>
  <si>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</si>
  <si>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</si>
  <si>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</si>
  <si>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</si>
  <si>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</si>
  <si>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</si>
  <si>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</si>
  <si>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</si>
  <si>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</si>
  <si>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</si>
  <si>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</si>
  <si>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</si>
  <si>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</si>
  <si>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</si>
  <si>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</si>
  <si>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</si>
  <si>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</si>
  <si>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</si>
  <si>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</si>
  <si>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</si>
  <si>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</si>
  <si>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</si>
  <si>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</si>
  <si>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</si>
  <si>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</si>
  <si>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</si>
  <si>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</si>
  <si>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</si>
  <si>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</si>
  <si>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</si>
  <si>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</si>
  <si>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</si>
  <si>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</si>
  <si>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</si>
  <si>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</si>
  <si>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</si>
  <si>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</si>
  <si>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</si>
  <si>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</si>
  <si>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</si>
  <si>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</si>
  <si>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</si>
  <si>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</si>
  <si>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</si>
  <si>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</si>
  <si>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</si>
  <si>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</si>
  <si>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</si>
  <si>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</si>
  <si>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</si>
  <si>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</si>
  <si>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</si>
  <si>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</si>
  <si>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</si>
  <si>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</si>
  <si>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</si>
  <si>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</si>
  <si>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</si>
  <si>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</si>
  <si>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</si>
  <si>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</si>
  <si>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</si>
  <si>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</si>
  <si>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</si>
  <si>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</si>
  <si>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</si>
  <si>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</si>
  <si>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</si>
  <si>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</si>
  <si>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</si>
  <si>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</si>
  <si>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</si>
  <si>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</si>
  <si>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</si>
  <si>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</si>
  <si>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</si>
  <si>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</si>
  <si>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</si>
  <si>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</si>
  <si>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</si>
  <si>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</si>
  <si>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</si>
  <si>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</si>
  <si>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</si>
  <si>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</si>
  <si>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</si>
  <si>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</si>
  <si>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</si>
  <si>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</si>
  <si>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</si>
  <si>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</si>
  <si>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</si>
  <si>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</si>
  <si>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</si>
  <si>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</si>
  <si>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</si>
  <si>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</si>
  <si>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</si>
  <si>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</si>
  <si>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</si>
  <si>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</si>
  <si>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</si>
  <si>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</si>
  <si>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</si>
  <si>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</si>
  <si>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</si>
  <si>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</si>
  <si>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</si>
  <si>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</si>
  <si>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</si>
  <si>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</si>
  <si>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</si>
  <si>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</si>
  <si>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</si>
  <si>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</si>
  <si>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</si>
  <si>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</si>
  <si>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</si>
  <si>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</si>
  <si>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</si>
  <si>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</si>
  <si>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</si>
  <si>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</si>
  <si>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</si>
  <si>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</si>
  <si>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</si>
  <si>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</si>
  <si>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</si>
  <si>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</si>
  <si>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</si>
  <si>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</si>
  <si>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</si>
  <si>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</si>
  <si>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</si>
  <si>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</si>
  <si>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</si>
  <si>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</si>
  <si>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</si>
  <si>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</si>
  <si>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</si>
  <si>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</si>
  <si>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</si>
  <si>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</si>
  <si>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</si>
  <si>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</si>
  <si>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</si>
  <si>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</si>
  <si>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</si>
  <si>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</si>
  <si>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</si>
  <si>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</si>
  <si>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</si>
  <si>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</si>
  <si>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</si>
  <si>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</si>
  <si>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</si>
  <si>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</si>
  <si>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</si>
  <si>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</si>
  <si>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</si>
  <si>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</si>
  <si>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</si>
  <si>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</si>
  <si>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</si>
  <si>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</si>
  <si>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</si>
  <si>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</si>
  <si>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</si>
  <si>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</si>
  <si>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</si>
  <si>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</si>
  <si>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</si>
  <si>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</si>
  <si>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</si>
  <si>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</si>
  <si>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</si>
  <si>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</si>
  <si>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</si>
  <si>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</si>
  <si>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</si>
  <si>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</si>
  <si>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</si>
  <si>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</si>
  <si>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</si>
  <si>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</si>
  <si>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</si>
  <si>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</si>
  <si>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</si>
  <si>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</si>
  <si>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</si>
  <si>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</si>
  <si>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</si>
  <si>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</si>
  <si>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</si>
  <si>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</si>
  <si>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</si>
  <si>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</si>
  <si>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</si>
  <si>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</si>
  <si>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</si>
  <si>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</si>
  <si>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</si>
  <si>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</si>
  <si>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</si>
  <si>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</si>
  <si>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</si>
  <si>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</si>
  <si>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</si>
  <si>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</si>
  <si>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</si>
  <si>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</si>
  <si>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</si>
  <si>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</si>
  <si>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</si>
  <si>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</si>
  <si>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</si>
  <si>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</si>
  <si>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</si>
  <si>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</si>
  <si>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</si>
  <si>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</si>
  <si>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</si>
  <si>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</si>
  <si>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</si>
  <si>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</si>
  <si>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</si>
  <si>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</si>
  <si>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</si>
  <si>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</si>
  <si>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</si>
  <si>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</si>
  <si>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</si>
  <si>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</si>
  <si>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</si>
  <si>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</si>
  <si>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</si>
  <si>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</si>
  <si>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</si>
  <si>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</si>
  <si>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</si>
  <si>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</si>
  <si>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</si>
  <si>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</si>
  <si>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</si>
  <si>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</si>
  <si>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</si>
  <si>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</si>
  <si>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</si>
  <si>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</si>
  <si>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</si>
  <si>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</si>
  <si>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</si>
  <si>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</si>
  <si>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</si>
  <si>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</si>
  <si>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</si>
  <si>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</si>
  <si>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</si>
  <si>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</si>
  <si>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</si>
  <si>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</si>
  <si>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</si>
  <si>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</si>
  <si>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</si>
  <si>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</si>
  <si>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</si>
  <si>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</si>
  <si>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</si>
  <si>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</si>
  <si>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</si>
  <si>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</si>
  <si>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</si>
  <si>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</si>
  <si>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</si>
  <si>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</si>
  <si>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</si>
  <si>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</si>
  <si>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</si>
  <si>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</si>
  <si>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</si>
  <si>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</si>
  <si>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</si>
  <si>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</si>
  <si>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</si>
  <si>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</si>
  <si>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</si>
  <si>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</si>
  <si>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</si>
  <si>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</si>
  <si>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</si>
  <si>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</si>
  <si>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</si>
  <si>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</si>
  <si>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</si>
  <si>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</si>
  <si>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</si>
  <si>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</si>
  <si>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</si>
  <si>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</si>
  <si>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</si>
  <si>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</si>
  <si>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</si>
  <si>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</si>
  <si>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</si>
  <si>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</si>
  <si>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</si>
  <si>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</si>
  <si>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</si>
  <si>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</si>
  <si>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</si>
  <si>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</si>
  <si>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</si>
  <si>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</si>
  <si>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</si>
  <si>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</si>
  <si>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</si>
  <si>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</si>
  <si>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</si>
  <si>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</si>
  <si>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</si>
  <si>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</si>
  <si>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</si>
  <si>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</si>
  <si>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</si>
  <si>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</si>
  <si>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</si>
  <si>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</si>
  <si>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</si>
  <si>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</si>
  <si>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</si>
  <si>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</si>
  <si>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</si>
  <si>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</si>
  <si>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</si>
  <si>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</si>
  <si>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</si>
  <si>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</si>
  <si>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</si>
  <si>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</si>
  <si>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</si>
  <si>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</si>
  <si>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</si>
  <si>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</si>
  <si>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</si>
  <si>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</si>
  <si>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</si>
  <si>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</si>
  <si>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</si>
  <si>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</si>
  <si>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</si>
  <si>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</si>
  <si>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</si>
  <si>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</si>
  <si>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</si>
  <si>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</si>
  <si>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</si>
  <si>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</si>
  <si>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</si>
  <si>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</si>
  <si>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</si>
  <si>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</si>
  <si>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</si>
  <si>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</si>
  <si>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</si>
  <si>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</si>
  <si>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</si>
  <si>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</si>
  <si>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</si>
  <si>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</si>
  <si>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</si>
  <si>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</si>
  <si>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</si>
  <si>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</si>
  <si>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</si>
  <si>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</si>
  <si>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</si>
  <si>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</si>
  <si>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</si>
  <si>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</si>
  <si>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</si>
  <si>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</si>
  <si>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</si>
  <si>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</si>
  <si>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</si>
  <si>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</si>
  <si>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</si>
  <si>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</si>
  <si>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</si>
  <si>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</si>
  <si>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</si>
  <si>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</si>
  <si>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</si>
  <si>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</si>
  <si>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</si>
  <si>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</si>
  <si>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</si>
  <si>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</si>
  <si>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</si>
  <si>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</si>
  <si>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</si>
  <si>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</si>
  <si>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</si>
  <si>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</si>
  <si>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</si>
  <si>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</si>
  <si>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</si>
  <si>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</si>
  <si>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</si>
  <si>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</si>
  <si>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</si>
  <si>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</si>
  <si>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</si>
  <si>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</si>
  <si>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</si>
  <si>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</si>
  <si>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</si>
  <si>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</si>
  <si>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</si>
  <si>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</si>
  <si>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</si>
  <si>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</si>
  <si>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</si>
  <si>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</si>
  <si>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</si>
  <si>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</si>
  <si>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</si>
  <si>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</si>
  <si>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</si>
  <si>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</si>
  <si>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</si>
  <si>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</si>
  <si>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</si>
  <si>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</si>
  <si>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</si>
  <si>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</si>
  <si>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</si>
  <si>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</si>
  <si>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</si>
  <si>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</si>
  <si>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</si>
  <si>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</si>
  <si>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</si>
  <si>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</si>
  <si>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</si>
  <si>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</si>
  <si>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</si>
  <si>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</si>
  <si>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</si>
  <si>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</si>
  <si>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</si>
  <si>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</si>
  <si>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</si>
  <si>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</si>
  <si>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</si>
  <si>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</si>
  <si>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</si>
  <si>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</si>
  <si>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</si>
  <si>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</si>
  <si>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</si>
  <si>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</si>
  <si>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</si>
  <si>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</si>
  <si>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</si>
  <si>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</si>
  <si>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</si>
  <si>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</si>
  <si>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</si>
  <si>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</si>
  <si>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</si>
  <si>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</si>
  <si>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</si>
  <si>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</si>
  <si>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</si>
  <si>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</si>
  <si>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</si>
  <si>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</si>
  <si>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</si>
  <si>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</si>
  <si>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</si>
  <si>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</si>
  <si>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</si>
  <si>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</si>
  <si>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</si>
  <si>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</si>
  <si>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</si>
  <si>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</si>
  <si>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</si>
  <si>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</si>
  <si>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</si>
  <si>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</si>
  <si>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</si>
  <si>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</si>
  <si>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</si>
  <si>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</si>
  <si>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</si>
  <si>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</si>
  <si>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</si>
  <si>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</si>
  <si>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</si>
  <si>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</si>
  <si>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</si>
  <si>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</si>
  <si>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</si>
  <si>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</si>
  <si>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</si>
  <si>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</si>
  <si>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</si>
  <si>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</si>
  <si>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</si>
  <si>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</si>
  <si>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</si>
  <si>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</si>
  <si>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</si>
  <si>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</si>
  <si>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</si>
  <si>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</si>
  <si>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</si>
  <si>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</si>
  <si>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</si>
  <si>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</si>
  <si>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</si>
  <si>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</si>
  <si>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</si>
  <si>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</si>
  <si>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</si>
  <si>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</si>
  <si>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</si>
  <si>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</si>
  <si>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</si>
  <si>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</si>
  <si>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</si>
  <si>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</si>
  <si>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</si>
  <si>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</si>
  <si>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</si>
  <si>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</si>
  <si>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</si>
  <si>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</si>
  <si>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</si>
  <si>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</si>
  <si>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</si>
  <si>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</si>
  <si>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</si>
  <si>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</si>
  <si>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</si>
  <si>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</si>
  <si>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</si>
  <si>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</si>
  <si>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</si>
  <si>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</si>
  <si>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</si>
  <si>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</si>
  <si>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</si>
  <si>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</si>
  <si>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</si>
  <si>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</si>
  <si>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</si>
  <si>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</si>
  <si>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</si>
  <si>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</si>
  <si>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</si>
  <si>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</si>
  <si>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</si>
  <si>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</si>
  <si>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</si>
  <si>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</si>
  <si>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</si>
  <si>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</si>
  <si>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</si>
  <si>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</si>
  <si>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</si>
  <si>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</si>
  <si>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</si>
  <si>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</si>
  <si>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</si>
  <si>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</si>
  <si>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</si>
  <si>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</si>
  <si>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</si>
  <si>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</si>
  <si>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</si>
  <si>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</si>
  <si>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</si>
  <si>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</si>
  <si>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</si>
  <si>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</si>
  <si>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</si>
  <si>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</si>
  <si>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</si>
  <si>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</si>
  <si>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</si>
  <si>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</si>
  <si>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</si>
  <si>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</si>
  <si>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</si>
  <si>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</si>
  <si>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</si>
  <si>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</si>
  <si>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</si>
  <si>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</si>
  <si>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</si>
  <si>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</si>
  <si>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</si>
  <si>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</si>
  <si>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</si>
  <si>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</si>
  <si>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</si>
  <si>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</si>
  <si>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</si>
  <si>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</si>
  <si>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</si>
  <si>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</si>
  <si>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</si>
  <si>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</si>
  <si>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</si>
  <si>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</si>
  <si>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</si>
  <si>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</si>
  <si>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</si>
  <si>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</si>
  <si>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</si>
  <si>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</si>
  <si>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</si>
  <si>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</si>
  <si>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</si>
  <si>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</si>
  <si>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</si>
  <si>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</si>
  <si>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</si>
  <si>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</si>
  <si>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</si>
  <si>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</si>
  <si>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</si>
  <si>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</si>
  <si>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</si>
  <si>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</si>
  <si>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</si>
  <si>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</si>
  <si>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</si>
  <si>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</si>
  <si>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</si>
  <si>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</si>
  <si>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</si>
  <si>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</si>
  <si>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</si>
  <si>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</si>
  <si>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</si>
  <si>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</si>
  <si>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</si>
  <si>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</si>
  <si>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</si>
  <si>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</si>
  <si>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</si>
  <si>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</si>
  <si>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</si>
  <si>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</si>
  <si>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</si>
  <si>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</si>
  <si>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</si>
  <si>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</si>
  <si>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</si>
  <si>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</si>
  <si>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</si>
  <si>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</si>
  <si>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</si>
  <si>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</si>
  <si>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</si>
  <si>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</si>
  <si>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</si>
  <si>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</si>
  <si>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</si>
  <si>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</si>
  <si>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</si>
  <si>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</si>
  <si>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</si>
  <si>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</si>
  <si>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</si>
  <si>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</si>
  <si>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</si>
  <si>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</si>
  <si>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</si>
  <si>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</si>
  <si>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</si>
  <si>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</si>
  <si>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</si>
  <si>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</si>
  <si>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</si>
  <si>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</si>
  <si>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</si>
  <si>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</si>
  <si>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</si>
  <si>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</si>
  <si>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</si>
  <si>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</si>
  <si>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</si>
  <si>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</si>
  <si>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</si>
  <si>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</si>
  <si>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</si>
  <si>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</si>
  <si>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</si>
  <si>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</si>
  <si>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</si>
  <si>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</si>
  <si>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</si>
  <si>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</si>
  <si>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</si>
  <si>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</si>
  <si>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</si>
  <si>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</si>
  <si>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</si>
  <si>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</si>
  <si>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</si>
  <si>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</si>
  <si>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</si>
  <si>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</si>
  <si>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</si>
  <si>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</si>
  <si>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</si>
  <si>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</si>
  <si>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</si>
  <si>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</si>
  <si>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</si>
  <si>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</si>
  <si>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</si>
  <si>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</si>
  <si>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</si>
  <si>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</si>
  <si>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</si>
  <si>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</si>
  <si>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</si>
  <si>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</si>
  <si>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</si>
  <si>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</si>
  <si>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</si>
  <si>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</si>
  <si>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</si>
  <si>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</si>
  <si>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</si>
  <si>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</si>
  <si>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</si>
  <si>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</si>
  <si>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</si>
  <si>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</si>
  <si>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</si>
  <si>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</si>
  <si>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</si>
  <si>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</si>
  <si>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</si>
  <si>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</si>
  <si>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</si>
  <si>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</si>
  <si>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</si>
  <si>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</si>
  <si>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</si>
  <si>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</si>
  <si>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</si>
  <si>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</si>
  <si>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</si>
  <si>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</si>
  <si>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</si>
  <si>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</si>
  <si>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</si>
  <si>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</si>
  <si>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</si>
  <si>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</si>
  <si>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</si>
  <si>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</si>
  <si>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</si>
  <si>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</si>
  <si>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</si>
  <si>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</si>
  <si>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</si>
  <si>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</si>
  <si>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</si>
  <si>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</si>
  <si>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</si>
  <si>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</si>
  <si>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</si>
  <si>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</si>
  <si>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</si>
  <si>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</si>
  <si>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</si>
  <si>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</si>
  <si>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</si>
  <si>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</si>
  <si>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</si>
  <si>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</si>
  <si>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</si>
  <si>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</si>
  <si>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</si>
  <si>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</si>
  <si>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</si>
  <si>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</si>
  <si>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</si>
  <si>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</si>
  <si>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</si>
  <si>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</si>
  <si>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</si>
  <si>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</si>
  <si>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</si>
  <si>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</si>
  <si>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</si>
  <si>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</si>
  <si>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</si>
  <si>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</si>
  <si>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</si>
  <si>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</si>
  <si>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</si>
  <si>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</si>
  <si>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</si>
  <si>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</si>
  <si>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</si>
  <si>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</si>
  <si>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</si>
  <si>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</si>
  <si>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</si>
  <si>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</si>
  <si>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</si>
  <si>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</si>
  <si>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</si>
  <si>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</si>
  <si>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</si>
  <si>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</si>
  <si>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</si>
  <si>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</si>
  <si>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</si>
  <si>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</si>
  <si>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</si>
  <si>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</si>
  <si>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</si>
  <si>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</si>
  <si>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</si>
  <si>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</si>
  <si>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</si>
  <si>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</si>
  <si>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</si>
  <si>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</si>
  <si>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</si>
  <si>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</si>
  <si>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</si>
  <si>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</si>
  <si>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</si>
  <si>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</si>
  <si>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</si>
  <si>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</si>
  <si>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</si>
  <si>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</si>
  <si>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</si>
  <si>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</si>
  <si>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</si>
  <si>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</si>
  <si>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</si>
  <si>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</si>
  <si>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</si>
  <si>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</si>
  <si>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</si>
  <si>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</si>
  <si>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</si>
  <si>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</si>
  <si>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</si>
  <si>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</si>
  <si>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</si>
  <si>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</si>
  <si>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</si>
  <si>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</si>
  <si>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</si>
  <si>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</si>
  <si>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</si>
  <si>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</si>
  <si>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</si>
  <si>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</si>
  <si>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</si>
  <si>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</si>
  <si>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</si>
  <si>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</si>
  <si>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</si>
  <si>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</si>
  <si>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</si>
  <si>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</si>
  <si>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</si>
  <si>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</si>
  <si>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</si>
  <si>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</si>
  <si>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</si>
  <si>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</si>
  <si>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</si>
  <si>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</si>
  <si>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</si>
  <si>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</si>
  <si>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</si>
  <si>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</si>
  <si>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</si>
  <si>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</si>
  <si>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</si>
  <si>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</si>
  <si>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</si>
  <si>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</si>
  <si>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</si>
  <si>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</si>
  <si>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</si>
  <si>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</si>
  <si>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</si>
  <si>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</si>
  <si>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</si>
  <si>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</si>
  <si>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</si>
  <si>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</si>
  <si>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</si>
  <si>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</si>
  <si>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</si>
  <si>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</si>
  <si>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</si>
  <si>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</si>
  <si>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</si>
  <si>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</si>
  <si>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</si>
  <si>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</si>
  <si>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</si>
  <si>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</si>
  <si>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</si>
  <si>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</si>
  <si>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</si>
  <si>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</si>
  <si>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</si>
  <si>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</si>
  <si>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</si>
  <si>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</si>
  <si>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</si>
  <si>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</si>
  <si>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</si>
  <si>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</si>
  <si>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</si>
  <si>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</si>
  <si>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</si>
  <si>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</si>
  <si>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</si>
  <si>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</si>
  <si>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</si>
  <si>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</si>
  <si>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</si>
  <si>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</si>
  <si>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</si>
  <si>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</si>
  <si>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</si>
  <si>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</si>
  <si>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</si>
  <si>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</si>
  <si>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</si>
  <si>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</si>
  <si>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</si>
  <si>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</si>
  <si>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</si>
  <si>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</si>
  <si>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</si>
  <si>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</si>
  <si>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</si>
  <si>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</si>
  <si>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</si>
  <si>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</si>
  <si>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</si>
  <si>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</si>
  <si>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</si>
  <si>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</si>
  <si>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</si>
  <si>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</si>
  <si>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</si>
  <si>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</si>
  <si>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</si>
  <si>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</si>
  <si>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</si>
  <si>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</si>
  <si>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</si>
  <si>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</si>
  <si>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</si>
  <si>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</si>
  <si>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</si>
  <si>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</si>
  <si>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</si>
  <si>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</si>
  <si>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</si>
  <si>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</si>
  <si>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</si>
  <si>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</si>
  <si>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</si>
  <si>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</si>
  <si>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</si>
  <si>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</si>
  <si>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</si>
  <si>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</si>
  <si>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</si>
  <si>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</si>
  <si>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</si>
  <si>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</si>
  <si>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</si>
  <si>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</si>
  <si>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</si>
  <si>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</si>
  <si>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</si>
  <si>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</si>
  <si>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</si>
  <si>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</si>
  <si>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</si>
  <si>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</si>
  <si>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</si>
  <si>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</si>
  <si>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</si>
  <si>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</si>
  <si>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</si>
  <si>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</si>
  <si>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</si>
  <si>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</si>
  <si>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</si>
  <si>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</si>
  <si>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</si>
  <si>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</si>
  <si>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</si>
  <si>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</si>
  <si>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</si>
  <si>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</si>
  <si>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</si>
  <si>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</si>
  <si>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</si>
  <si>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</si>
  <si>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</si>
  <si>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</si>
  <si>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</si>
  <si>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</si>
  <si>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</si>
  <si>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</si>
  <si>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</si>
  <si>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</si>
  <si>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</si>
  <si>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</si>
  <si>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</si>
  <si>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</si>
  <si>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</si>
  <si>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</si>
  <si>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</si>
  <si>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</si>
  <si>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</si>
  <si>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</si>
  <si>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</si>
  <si>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</si>
  <si>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</si>
  <si>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</si>
  <si>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</si>
  <si>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</si>
  <si>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</si>
  <si>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</si>
  <si>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</si>
  <si>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</si>
  <si>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</si>
  <si>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</si>
  <si>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</si>
  <si>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</si>
  <si>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</si>
  <si>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</si>
  <si>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</si>
  <si>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</si>
  <si>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</si>
  <si>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</si>
  <si>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</si>
  <si>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</si>
  <si>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</si>
  <si>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</si>
  <si>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</si>
  <si>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</si>
  <si>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</si>
  <si>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</si>
  <si>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</si>
  <si>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</si>
  <si>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</si>
  <si>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</si>
  <si>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</si>
  <si>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</si>
  <si>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</si>
  <si>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</si>
  <si>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</si>
  <si>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</si>
  <si>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</si>
  <si>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</si>
  <si>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</si>
  <si>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</si>
  <si>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</si>
  <si>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</si>
  <si>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</si>
  <si>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</si>
  <si>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</si>
  <si>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</si>
  <si>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</si>
  <si>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</si>
  <si>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</si>
  <si>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</si>
  <si>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</si>
  <si>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</si>
  <si>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</si>
  <si>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</si>
  <si>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</si>
  <si>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</si>
  <si>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</si>
  <si>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</si>
  <si>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</si>
  <si>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</si>
  <si>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</si>
  <si>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</si>
  <si>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</si>
  <si>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</si>
  <si>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</si>
  <si>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</si>
  <si>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</si>
  <si>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</si>
  <si>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</si>
  <si>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</si>
  <si>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</si>
  <si>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</si>
  <si>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</si>
  <si>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</si>
  <si>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</si>
  <si>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</si>
  <si>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</si>
  <si>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</si>
  <si>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</si>
  <si>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</si>
  <si>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</si>
  <si>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</si>
  <si>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</si>
  <si>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</si>
  <si>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</si>
  <si>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</si>
  <si>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</si>
  <si>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</si>
  <si>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</si>
  <si>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</si>
  <si>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</si>
  <si>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</si>
  <si>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</si>
  <si>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</si>
  <si>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</si>
  <si>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</si>
  <si>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</si>
  <si>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</si>
  <si>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</si>
  <si>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</si>
  <si>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</si>
  <si>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</si>
  <si>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</si>
  <si>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</si>
  <si>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</si>
  <si>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</si>
  <si>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</si>
  <si>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</si>
  <si>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</si>
  <si>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</si>
  <si>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</si>
  <si>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</si>
  <si>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</si>
  <si>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</si>
  <si>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</si>
  <si>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</si>
  <si>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</si>
  <si>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</si>
  <si>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</si>
  <si>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</si>
  <si>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</si>
  <si>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</si>
  <si>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</si>
  <si>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</si>
  <si>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</si>
  <si>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</si>
  <si>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</si>
  <si>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</si>
  <si>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</si>
  <si>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</si>
  <si>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</si>
  <si>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</si>
  <si>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</si>
  <si>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</si>
  <si>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</si>
  <si>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</si>
  <si>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</si>
  <si>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</si>
  <si>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</si>
  <si>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</si>
  <si>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</si>
  <si>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</si>
  <si>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</si>
  <si>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</si>
  <si>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</si>
  <si>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</si>
  <si>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</si>
  <si>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</si>
  <si>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</si>
  <si>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</si>
  <si>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</si>
  <si>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</si>
  <si>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</si>
  <si>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</si>
  <si>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</si>
  <si>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</si>
  <si>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</si>
  <si>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</si>
  <si>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</si>
  <si>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</si>
  <si>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</si>
  <si>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</si>
  <si>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</si>
  <si>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</si>
  <si>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</si>
  <si>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</si>
  <si>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</si>
  <si>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</si>
  <si>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</si>
  <si>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</si>
  <si>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</si>
  <si>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</si>
  <si>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</si>
  <si>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</si>
  <si>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</si>
  <si>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</si>
  <si>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</si>
  <si>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</si>
  <si>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</si>
  <si>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</si>
  <si>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</si>
  <si>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</si>
  <si>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</si>
  <si>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</si>
  <si>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</si>
  <si>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</si>
  <si>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</si>
  <si>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</si>
  <si>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</si>
  <si>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</si>
  <si>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</si>
  <si>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</si>
  <si>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</si>
  <si>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</si>
  <si>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</si>
  <si>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</si>
  <si>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</si>
  <si>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</si>
  <si>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</si>
  <si>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</si>
  <si>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</si>
  <si>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</si>
  <si>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</si>
  <si>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</si>
  <si>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</si>
  <si>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</si>
  <si>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</si>
  <si>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</si>
  <si>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</si>
  <si>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</si>
  <si>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</si>
  <si>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</si>
  <si>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</si>
  <si>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</si>
  <si>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</si>
  <si>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</si>
  <si>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</si>
  <si>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</si>
  <si>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</si>
  <si>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</si>
  <si>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</si>
  <si>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</si>
  <si>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</si>
  <si>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</si>
  <si>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</si>
  <si>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</si>
  <si>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</si>
  <si>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</si>
  <si>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</si>
  <si>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</si>
  <si>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</si>
  <si>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</si>
  <si>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</si>
  <si>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</si>
  <si>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</si>
  <si>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</si>
  <si>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</si>
  <si>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</si>
  <si>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</si>
  <si>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</si>
  <si>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</si>
  <si>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</si>
  <si>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</si>
  <si>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</si>
  <si>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</si>
  <si>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</si>
  <si>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</si>
  <si>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</si>
  <si>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</si>
  <si>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</si>
  <si>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</si>
  <si>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</si>
  <si>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</si>
  <si>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</si>
  <si>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</si>
  <si>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</si>
  <si>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</si>
  <si>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</si>
  <si>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</si>
  <si>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</si>
  <si>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</si>
  <si>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</si>
  <si>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</si>
  <si>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</si>
  <si>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</si>
  <si>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</si>
  <si>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</si>
  <si>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</si>
  <si>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</si>
  <si>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</si>
  <si>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</si>
  <si>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</si>
  <si>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</si>
  <si>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</si>
  <si>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</si>
  <si>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</si>
  <si>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</si>
  <si>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</si>
  <si>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</si>
  <si>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</si>
  <si>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</si>
  <si>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</si>
  <si>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</si>
  <si>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</si>
  <si>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</si>
  <si>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</si>
  <si>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</si>
  <si>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</si>
  <si>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</si>
  <si>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</si>
  <si>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</si>
  <si>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</si>
  <si>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</si>
  <si>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</si>
  <si>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</si>
  <si>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</si>
  <si>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</si>
  <si>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</si>
  <si>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</si>
  <si>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</si>
  <si>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</si>
  <si>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</si>
  <si>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</si>
  <si>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</si>
  <si>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</si>
  <si>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</si>
  <si>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</si>
  <si>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</si>
  <si>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</si>
  <si>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</si>
  <si>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</si>
  <si>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</si>
  <si>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</si>
  <si>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</si>
  <si>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</si>
  <si>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</si>
  <si>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</si>
  <si>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</si>
  <si>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</si>
  <si>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</si>
  <si>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</si>
  <si>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</si>
  <si>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</si>
  <si>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</si>
  <si>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</si>
  <si>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</si>
  <si>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</si>
  <si>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</si>
  <si>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</si>
  <si>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</si>
  <si>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</si>
  <si>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</si>
  <si>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</si>
  <si>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</si>
  <si>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</si>
  <si>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</si>
  <si>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</si>
  <si>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</si>
  <si>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</si>
  <si>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</si>
  <si>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</si>
  <si>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</si>
  <si>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</si>
  <si>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</si>
  <si>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</si>
  <si>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</si>
  <si>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</si>
  <si>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</si>
  <si>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</si>
  <si>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</si>
  <si>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</si>
  <si>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</si>
  <si>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</si>
  <si>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</si>
  <si>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</si>
  <si>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</si>
  <si>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</si>
  <si>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</si>
  <si>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</si>
  <si>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</si>
  <si>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</si>
  <si>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</si>
  <si>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</si>
  <si>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</si>
  <si>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</si>
  <si>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</si>
  <si>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</si>
  <si>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</si>
  <si>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</si>
  <si>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</si>
  <si>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</si>
  <si>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</si>
  <si>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</si>
  <si>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</si>
  <si>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</si>
  <si>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</si>
  <si>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</si>
  <si>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</si>
  <si>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</si>
  <si>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</si>
  <si>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</si>
  <si>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</si>
  <si>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</si>
  <si>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</si>
  <si>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</si>
  <si>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</si>
  <si>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</si>
  <si>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</si>
  <si>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</si>
  <si>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</si>
  <si>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</si>
  <si>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</si>
  <si>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</si>
  <si>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</si>
  <si>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</si>
  <si>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</si>
  <si>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</si>
  <si>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</si>
  <si>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</si>
  <si>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</si>
  <si>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</si>
  <si>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</si>
  <si>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</si>
  <si>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</si>
  <si>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</si>
  <si>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</si>
  <si>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</si>
  <si>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</si>
  <si>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</si>
  <si>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</si>
  <si>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</si>
  <si>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</si>
  <si>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</si>
  <si>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</si>
  <si>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</si>
  <si>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</si>
  <si>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</si>
  <si>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</si>
  <si>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</si>
  <si>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</si>
  <si>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</si>
  <si>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</si>
  <si>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</si>
  <si>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</si>
  <si>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</si>
  <si>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</si>
  <si>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</si>
  <si>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</si>
  <si>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</si>
  <si>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</si>
  <si>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</si>
  <si>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</si>
  <si>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</si>
  <si>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</si>
  <si>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</si>
  <si>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</si>
  <si>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</si>
  <si>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</si>
  <si>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</si>
  <si>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</si>
  <si>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</si>
  <si>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</si>
  <si>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</si>
  <si>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</si>
  <si>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</si>
  <si>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</si>
  <si>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</si>
  <si>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</si>
  <si>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</si>
  <si>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</si>
  <si>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</si>
  <si>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</si>
  <si>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</si>
  <si>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</si>
  <si>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</si>
  <si>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</si>
  <si>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</si>
  <si>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</si>
  <si>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</si>
  <si>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</si>
  <si>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</si>
  <si>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</si>
  <si>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</si>
  <si>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</si>
  <si>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</si>
  <si>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</si>
  <si>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</si>
  <si>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</si>
  <si>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</si>
  <si>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</si>
  <si>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</si>
  <si>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</si>
  <si>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</si>
  <si>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</si>
  <si>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</si>
  <si>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</si>
  <si>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</si>
  <si>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</si>
  <si>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</si>
  <si>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</si>
  <si>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</si>
  <si>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</si>
  <si>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</si>
  <si>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</si>
  <si>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</si>
  <si>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</si>
  <si>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</si>
  <si>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</si>
  <si>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</si>
  <si>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</si>
  <si>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</si>
  <si>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</si>
  <si>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</si>
  <si>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</si>
  <si>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</si>
  <si>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</si>
  <si>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</si>
  <si>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</si>
  <si>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</si>
  <si>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</si>
  <si>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</si>
  <si>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</si>
  <si>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</si>
  <si>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</si>
  <si>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</si>
  <si>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</si>
  <si>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</si>
  <si>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</si>
  <si>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</si>
  <si>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</si>
  <si>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</si>
  <si>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</si>
  <si>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</si>
  <si>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</si>
  <si>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</si>
  <si>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</si>
  <si>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</si>
  <si>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</si>
  <si>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</si>
  <si>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</si>
  <si>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</si>
  <si>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</si>
  <si>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</si>
  <si>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</si>
  <si>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</si>
  <si>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</si>
  <si>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</si>
  <si>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</si>
  <si>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</si>
  <si>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</si>
  <si>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</si>
  <si>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</si>
  <si>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</si>
  <si>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</si>
  <si>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</si>
  <si>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</si>
  <si>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</si>
  <si>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</si>
  <si>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</si>
  <si>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</si>
  <si>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</si>
  <si>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</si>
  <si>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</si>
  <si>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</si>
  <si>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</si>
  <si>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</si>
  <si>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</si>
  <si>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</si>
  <si>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</si>
  <si>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</si>
  <si>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</si>
  <si>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</si>
  <si>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</si>
  <si>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</si>
  <si>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</si>
  <si>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</si>
  <si>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</si>
  <si>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</si>
  <si>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</si>
  <si>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</si>
  <si>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</si>
  <si>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</si>
  <si>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</si>
  <si>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</si>
  <si>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</si>
  <si>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</si>
  <si>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</si>
  <si>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</si>
  <si>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</si>
  <si>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</si>
  <si>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</si>
  <si>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</si>
  <si>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</si>
  <si>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</si>
  <si>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</si>
  <si>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</si>
  <si>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</si>
  <si>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</si>
  <si>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</si>
  <si>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</si>
  <si>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</si>
  <si>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</si>
  <si>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</si>
  <si>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</si>
  <si>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</si>
  <si>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</si>
  <si>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</si>
  <si>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</si>
  <si>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</si>
  <si>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</si>
  <si>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</si>
  <si>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</si>
  <si>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</si>
  <si>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</si>
  <si>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</si>
  <si>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</si>
  <si>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</si>
  <si>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</si>
  <si>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</si>
  <si>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</si>
  <si>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</si>
  <si>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</si>
  <si>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</si>
  <si>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</si>
  <si>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</si>
  <si>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</si>
  <si>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</si>
  <si>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</si>
  <si>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</si>
  <si>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</si>
  <si>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</si>
  <si>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</si>
  <si>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</si>
  <si>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</si>
  <si>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</si>
  <si>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</si>
  <si>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</si>
  <si>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</si>
  <si>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</si>
  <si>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</si>
  <si>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</si>
  <si>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</si>
  <si>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</si>
  <si>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</si>
  <si>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</si>
  <si>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</si>
  <si>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</si>
  <si>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</si>
  <si>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</si>
  <si>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</si>
  <si>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</si>
  <si>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</si>
  <si>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</si>
  <si>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</si>
  <si>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</si>
  <si>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</si>
  <si>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</si>
  <si>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</si>
  <si>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</si>
  <si>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</si>
  <si>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</si>
  <si>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</si>
  <si>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</si>
  <si>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</si>
  <si>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</si>
  <si>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</si>
  <si>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</si>
  <si>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</si>
  <si>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</si>
  <si>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</si>
  <si>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</si>
  <si>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</si>
  <si>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</si>
  <si>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</si>
  <si>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</si>
  <si>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</si>
  <si>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</si>
  <si>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</si>
  <si>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</si>
  <si>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</si>
  <si>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</si>
  <si>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</si>
  <si>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</si>
  <si>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</si>
  <si>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</si>
  <si>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</si>
  <si>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</si>
  <si>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</si>
  <si>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</si>
  <si>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</si>
  <si>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</si>
  <si>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</si>
  <si>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</si>
  <si>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</si>
  <si>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</si>
  <si>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</si>
  <si>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</si>
  <si>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</si>
  <si>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</si>
  <si>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</si>
  <si>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</si>
  <si>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</si>
  <si>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</si>
  <si>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</si>
  <si>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</si>
  <si>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</si>
  <si>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</si>
  <si>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</si>
  <si>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</si>
  <si>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</si>
  <si>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</si>
  <si>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</si>
  <si>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</si>
  <si>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</si>
  <si>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</si>
  <si>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</si>
  <si>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</si>
  <si>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</si>
  <si>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</si>
  <si>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</si>
  <si>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</si>
  <si>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</si>
  <si>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</si>
  <si>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</si>
  <si>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</si>
  <si>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</si>
  <si>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</si>
  <si>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</si>
  <si>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</si>
  <si>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</si>
  <si>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</si>
  <si>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</si>
  <si>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</si>
  <si>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</si>
  <si>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</si>
  <si>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</si>
  <si>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</si>
  <si>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</si>
  <si>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</si>
  <si>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</si>
  <si>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</si>
  <si>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</si>
  <si>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</si>
  <si>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</si>
  <si>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</si>
  <si>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</si>
  <si>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</si>
  <si>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</si>
  <si>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</si>
  <si>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</si>
  <si>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</si>
  <si>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</si>
  <si>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</si>
  <si>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</si>
  <si>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</si>
  <si>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</si>
  <si>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</si>
  <si>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</si>
  <si>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</si>
  <si>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</si>
  <si>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</si>
  <si>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</si>
  <si>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</si>
  <si>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</si>
  <si>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</si>
  <si>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</si>
  <si>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</si>
  <si>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</si>
  <si>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</si>
  <si>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</si>
  <si>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</si>
  <si>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</si>
  <si>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</si>
  <si>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</si>
  <si>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</si>
  <si>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</si>
  <si>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</si>
  <si>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</si>
  <si>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</si>
  <si>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</si>
  <si>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</si>
  <si>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</si>
  <si>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</si>
  <si>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</si>
  <si>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</si>
  <si>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</si>
  <si>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</si>
  <si>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</si>
  <si>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</si>
  <si>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</si>
  <si>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</si>
  <si>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</si>
  <si>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</si>
  <si>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</si>
  <si>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</si>
  <si>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</si>
  <si>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</si>
  <si>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</si>
  <si>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</si>
  <si>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</si>
  <si>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</si>
  <si>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</si>
  <si>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</si>
  <si>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</si>
  <si>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</si>
  <si>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</si>
  <si>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</si>
  <si>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</si>
  <si>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</si>
  <si>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</si>
  <si>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</si>
  <si>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</si>
  <si>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</si>
  <si>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</si>
  <si>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</si>
  <si>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</si>
  <si>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</si>
  <si>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</si>
  <si>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</si>
  <si>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</si>
  <si>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</si>
  <si>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</si>
  <si>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</si>
  <si>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</si>
  <si>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</si>
  <si>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</si>
  <si>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</si>
  <si>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</si>
  <si>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</si>
  <si>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</si>
  <si>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</si>
  <si>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</si>
  <si>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</si>
  <si>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</si>
  <si>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</si>
  <si>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</si>
  <si>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</si>
  <si>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</si>
  <si>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</si>
  <si>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</si>
  <si>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</si>
  <si>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</si>
  <si>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</si>
  <si>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</si>
  <si>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</si>
  <si>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</si>
  <si>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</si>
  <si>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</si>
  <si>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</si>
  <si>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</si>
  <si>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</si>
  <si>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</si>
  <si>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</si>
  <si>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</si>
  <si>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</si>
  <si>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</si>
  <si>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</si>
  <si>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</si>
  <si>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</si>
  <si>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</si>
  <si>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</si>
  <si>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</si>
  <si>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</si>
  <si>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</si>
  <si>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</si>
  <si>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</si>
  <si>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</si>
  <si>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</si>
  <si>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</si>
  <si>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</si>
  <si>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</si>
  <si>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</si>
  <si>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</si>
  <si>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</si>
  <si>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</si>
  <si>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</si>
  <si>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</si>
  <si>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</si>
  <si>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</si>
  <si>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</si>
  <si>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</si>
  <si>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</si>
  <si>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</si>
  <si>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</si>
  <si>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</si>
  <si>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</si>
  <si>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</si>
  <si>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</si>
  <si>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</si>
  <si>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</si>
  <si>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</si>
  <si>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</si>
  <si>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</si>
  <si>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</si>
  <si>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</si>
  <si>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</si>
  <si>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</si>
  <si>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</si>
  <si>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</si>
  <si>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</si>
  <si>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</si>
  <si>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</si>
  <si>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</si>
  <si>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</si>
  <si>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</si>
  <si>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</si>
  <si>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</si>
  <si>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</si>
  <si>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</si>
  <si>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</si>
  <si>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</si>
  <si>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</si>
  <si>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</si>
  <si>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</si>
  <si>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</si>
  <si>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</si>
  <si>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</si>
  <si>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</si>
  <si>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</si>
  <si>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</si>
  <si>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</si>
  <si>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</si>
  <si>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</si>
  <si>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</si>
  <si>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</si>
  <si>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</si>
  <si>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</si>
  <si>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</si>
  <si>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</si>
  <si>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</si>
  <si>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</si>
  <si>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</si>
  <si>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</si>
  <si>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</si>
  <si>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</si>
  <si>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</si>
  <si>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</si>
  <si>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</si>
  <si>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</si>
  <si>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</si>
  <si>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</si>
  <si>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</si>
  <si>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</si>
  <si>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</si>
  <si>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</si>
  <si>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</si>
  <si>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</si>
  <si>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</si>
  <si>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</si>
  <si>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</si>
  <si>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</si>
  <si>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</si>
  <si>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</si>
  <si>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</si>
  <si>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</si>
  <si>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</si>
  <si>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</si>
  <si>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</si>
  <si>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</si>
  <si>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</si>
  <si>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</si>
  <si>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</si>
  <si>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</si>
  <si>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</si>
  <si>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</si>
  <si>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</si>
  <si>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</si>
  <si>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</si>
  <si>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</si>
  <si>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</si>
  <si>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</si>
  <si>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</si>
  <si>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</si>
  <si>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</si>
  <si>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</si>
  <si>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</si>
  <si>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</si>
  <si>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</si>
  <si>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</si>
  <si>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</si>
  <si>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</si>
  <si>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</si>
  <si>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</si>
  <si>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</si>
  <si>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</si>
  <si>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</si>
  <si>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</si>
  <si>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</si>
  <si>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</si>
  <si>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</si>
  <si>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</si>
  <si>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</si>
  <si>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</si>
  <si>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</si>
  <si>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</si>
  <si>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</si>
  <si>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</si>
  <si>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</si>
  <si>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</si>
  <si>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</si>
  <si>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</si>
  <si>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</si>
  <si>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</si>
  <si>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</si>
  <si>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</si>
  <si>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</si>
  <si>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</si>
  <si>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</si>
  <si>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</si>
  <si>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</si>
  <si>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</si>
  <si>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</si>
  <si>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</si>
  <si>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</si>
  <si>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</si>
  <si>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</si>
  <si>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</si>
  <si>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</si>
  <si>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</si>
  <si>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</si>
  <si>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</si>
  <si>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</si>
  <si>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</si>
  <si>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</si>
  <si>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</si>
  <si>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</si>
  <si>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</si>
  <si>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</si>
  <si>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</si>
  <si>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</si>
  <si>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</si>
  <si>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</si>
  <si>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</si>
  <si>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</si>
  <si>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</si>
  <si>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</si>
  <si>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</si>
  <si>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</si>
  <si>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</si>
  <si>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</si>
  <si>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</si>
  <si>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</si>
  <si>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</si>
  <si>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</si>
  <si>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</si>
  <si>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</si>
  <si>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</si>
  <si>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</si>
  <si>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</si>
  <si>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</si>
  <si>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</si>
  <si>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</si>
  <si>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</si>
  <si>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</si>
  <si>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</si>
  <si>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</si>
  <si>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</si>
  <si>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</si>
  <si>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</si>
  <si>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</si>
  <si>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</si>
  <si>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</si>
  <si>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</si>
  <si>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</si>
  <si>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</si>
  <si>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</si>
  <si>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</si>
  <si>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</si>
  <si>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</si>
  <si>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</si>
  <si>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</si>
  <si>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</si>
  <si>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</si>
  <si>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</si>
  <si>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</si>
  <si>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</si>
  <si>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</si>
  <si>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</si>
  <si>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</si>
  <si>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</si>
  <si>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</si>
  <si>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</si>
  <si>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</si>
  <si>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</si>
  <si>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</si>
  <si>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</si>
  <si>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</si>
  <si>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</si>
  <si>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</si>
  <si>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</si>
  <si>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</si>
  <si>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</si>
  <si>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</si>
  <si>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</si>
  <si>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</si>
  <si>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</si>
  <si>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</si>
  <si>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</si>
  <si>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</si>
  <si>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</si>
  <si>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</si>
  <si>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</si>
  <si>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</si>
  <si>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</si>
  <si>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</si>
  <si>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</si>
  <si>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</si>
  <si>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</si>
  <si>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</si>
  <si>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</si>
  <si>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</si>
  <si>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</si>
  <si>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</si>
  <si>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</si>
  <si>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</si>
  <si>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</si>
  <si>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</si>
  <si>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</si>
  <si>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</si>
  <si>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</si>
  <si>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</si>
  <si>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</si>
  <si>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</si>
  <si>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</si>
  <si>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</si>
  <si>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</si>
  <si>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</si>
  <si>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</si>
  <si>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</si>
  <si>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</si>
  <si>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</si>
  <si>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</si>
  <si>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</si>
  <si>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</si>
  <si>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</si>
  <si>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</si>
  <si>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</si>
  <si>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</si>
  <si>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</si>
  <si>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</si>
  <si>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</si>
  <si>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</si>
  <si>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</si>
  <si>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</si>
  <si>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</si>
  <si>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</si>
  <si>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</si>
  <si>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</si>
  <si>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</si>
  <si>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</si>
  <si>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</si>
  <si>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</si>
  <si>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</si>
  <si>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</si>
  <si>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</si>
  <si>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</si>
  <si>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</si>
  <si>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</si>
  <si>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</si>
  <si>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</si>
  <si>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</si>
  <si>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</si>
  <si>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</si>
  <si>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</si>
  <si>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</si>
  <si>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</si>
  <si>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</si>
  <si>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</si>
  <si>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</si>
  <si>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</si>
  <si>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</si>
  <si>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</si>
  <si>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</si>
  <si>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</si>
  <si>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</si>
  <si>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</si>
  <si>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</si>
  <si>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</si>
  <si>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</si>
  <si>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</si>
  <si>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</si>
  <si>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</si>
  <si>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</si>
  <si>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</si>
  <si>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</si>
  <si>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</si>
  <si>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</si>
  <si>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</si>
  <si>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</si>
  <si>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</si>
  <si>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</si>
  <si>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</si>
  <si>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</si>
  <si>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</si>
  <si>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</si>
  <si>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</si>
  <si>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</si>
  <si>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</si>
  <si>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</si>
  <si>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</si>
  <si>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</si>
  <si>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</si>
  <si>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</si>
  <si>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</si>
  <si>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</si>
  <si>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</si>
  <si>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</si>
  <si>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</si>
  <si>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</si>
  <si>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</si>
  <si>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</si>
  <si>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</si>
  <si>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</si>
  <si>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</si>
  <si>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</si>
  <si>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</si>
  <si>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</si>
  <si>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</si>
  <si>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</si>
  <si>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</si>
  <si>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</si>
  <si>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</si>
  <si>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</si>
  <si>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</si>
  <si>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</si>
  <si>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</si>
  <si>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</si>
  <si>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</si>
  <si>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</si>
  <si>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</si>
  <si>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</si>
  <si>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</si>
  <si>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</si>
  <si>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</si>
  <si>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</si>
  <si>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</si>
  <si>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</si>
  <si>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</si>
  <si>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</si>
  <si>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</si>
  <si>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</si>
  <si>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</si>
  <si>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</si>
  <si>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</si>
  <si>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</si>
  <si>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</si>
  <si>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</si>
  <si>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</si>
  <si>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</si>
  <si>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</si>
  <si>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</si>
  <si>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</si>
  <si>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</si>
  <si>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</si>
  <si>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</si>
  <si>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</si>
  <si>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</si>
  <si>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</si>
  <si>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</si>
  <si>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</si>
  <si>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</si>
  <si>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</si>
  <si>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</si>
  <si>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</si>
  <si>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</si>
  <si>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</si>
  <si>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</si>
  <si>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</si>
  <si>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</si>
  <si>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</si>
  <si>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</si>
  <si>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</si>
  <si>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</si>
  <si>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</si>
  <si>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</si>
  <si>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</si>
  <si>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</si>
  <si>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</si>
  <si>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</si>
  <si>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</si>
  <si>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</si>
  <si>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</si>
  <si>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</si>
  <si>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</si>
  <si>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</si>
  <si>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</si>
  <si>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</si>
  <si>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</si>
  <si>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</si>
  <si>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</si>
  <si>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</si>
  <si>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</si>
  <si>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</si>
  <si>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</si>
  <si>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</si>
  <si>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</si>
  <si>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</si>
  <si>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</si>
  <si>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</si>
  <si>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</si>
  <si>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</si>
  <si>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</si>
  <si>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</si>
  <si>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</si>
  <si>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</si>
  <si>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</si>
  <si>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</si>
  <si>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</si>
  <si>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</si>
  <si>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</si>
  <si>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</si>
  <si>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</si>
  <si>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</si>
  <si>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</si>
  <si>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</si>
  <si>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</si>
  <si>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</si>
  <si>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</si>
  <si>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</si>
  <si>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</si>
  <si>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</si>
  <si>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</si>
  <si>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</si>
  <si>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</si>
  <si>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</si>
  <si>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</si>
  <si>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</si>
  <si>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</si>
  <si>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</si>
  <si>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</si>
  <si>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</si>
  <si>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</si>
  <si>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</si>
  <si>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</si>
  <si>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</si>
  <si>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</si>
  <si>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</si>
  <si>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</si>
  <si>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</si>
  <si>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</si>
  <si>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</si>
  <si>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</si>
  <si>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</si>
  <si>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</si>
  <si>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</si>
  <si>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</si>
  <si>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</si>
  <si>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</si>
  <si>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</si>
  <si>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</si>
  <si>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</si>
  <si>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</si>
  <si>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</si>
  <si>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</si>
  <si>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</si>
  <si>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</si>
  <si>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</si>
  <si>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</si>
  <si>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</si>
  <si>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</si>
  <si>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</si>
  <si>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</si>
  <si>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</si>
  <si>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</si>
  <si>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</si>
  <si>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</si>
  <si>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</si>
  <si>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</si>
  <si>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</si>
  <si>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</si>
  <si>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</si>
  <si>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</si>
  <si>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</si>
  <si>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</si>
  <si>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</si>
  <si>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</si>
  <si>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</si>
  <si>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</si>
  <si>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</si>
  <si>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</si>
  <si>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</si>
  <si>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</si>
  <si>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</si>
  <si>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</si>
  <si>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</si>
  <si>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</si>
  <si>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</si>
  <si>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</si>
  <si>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</si>
  <si>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</si>
  <si>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</si>
  <si>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</si>
  <si>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</si>
  <si>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</si>
  <si>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</si>
  <si>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</si>
  <si>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</si>
  <si>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</si>
  <si>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</si>
  <si>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</si>
  <si>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</si>
  <si>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</si>
  <si>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</si>
  <si>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</si>
  <si>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</si>
  <si>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</si>
  <si>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</si>
  <si>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</si>
  <si>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</si>
  <si>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</si>
  <si>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</si>
  <si>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</si>
  <si>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</si>
  <si>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</si>
  <si>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</si>
  <si>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</si>
  <si>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</si>
  <si>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</si>
  <si>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</si>
  <si>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</si>
  <si>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</si>
  <si>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</si>
  <si>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</si>
  <si>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</si>
  <si>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</si>
  <si>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</si>
  <si>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</si>
  <si>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</si>
  <si>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</si>
  <si>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</si>
  <si>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</si>
  <si>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</si>
  <si>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</si>
  <si>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</si>
  <si>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</si>
  <si>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</si>
  <si>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</si>
  <si>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</si>
  <si>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</si>
  <si>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</si>
  <si>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</si>
  <si>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</si>
  <si>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</si>
  <si>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</si>
  <si>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</si>
  <si>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</si>
  <si>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</si>
  <si>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</si>
  <si>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</si>
  <si>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</si>
  <si>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</si>
  <si>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</si>
  <si>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</si>
  <si>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</si>
  <si>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</si>
  <si>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</si>
  <si>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</si>
  <si>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</si>
  <si>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</si>
  <si>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</si>
  <si>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</si>
  <si>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</si>
  <si>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</si>
  <si>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</si>
  <si>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</si>
  <si>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</si>
  <si>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</si>
  <si>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</si>
  <si>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</si>
  <si>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</si>
  <si>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</si>
  <si>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</si>
  <si>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</si>
  <si>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</si>
  <si>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</si>
  <si>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</si>
  <si>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</si>
  <si>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</si>
  <si>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</si>
  <si>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</si>
  <si>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</si>
  <si>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</si>
  <si>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</si>
  <si>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</si>
  <si>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</si>
  <si>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</si>
  <si>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</si>
  <si>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</si>
  <si>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</si>
  <si>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</si>
  <si>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</si>
  <si>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</si>
  <si>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</si>
  <si>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</si>
  <si>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</si>
  <si>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</si>
  <si>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</si>
  <si>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</si>
  <si>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</si>
  <si>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</si>
  <si>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</si>
  <si>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</si>
  <si>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</si>
  <si>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</si>
  <si>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</si>
  <si>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</si>
  <si>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</si>
  <si>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</si>
  <si>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</si>
  <si>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</si>
  <si>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</si>
  <si>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</si>
  <si>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</si>
  <si>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</si>
  <si>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</si>
  <si>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</si>
  <si>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</si>
  <si>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</si>
  <si>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</si>
  <si>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</si>
  <si>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</si>
  <si>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</si>
  <si>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</si>
  <si>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</si>
  <si>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</si>
  <si>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</si>
  <si>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</si>
  <si>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</si>
  <si>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</si>
  <si>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</si>
  <si>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</si>
  <si>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</si>
  <si>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</si>
  <si>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</si>
  <si>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</si>
  <si>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</si>
  <si>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</si>
  <si>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</si>
  <si>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</si>
  <si>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</si>
  <si>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</si>
  <si>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</si>
  <si>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</si>
  <si>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</si>
  <si>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</si>
  <si>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</si>
  <si>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</si>
  <si>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</si>
  <si>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</si>
  <si>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</si>
  <si>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</si>
  <si>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</si>
  <si>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</si>
  <si>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</si>
  <si>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</si>
  <si>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</si>
  <si>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</si>
  <si>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</si>
  <si>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</si>
  <si>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</si>
  <si>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</si>
  <si>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</si>
  <si>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</si>
  <si>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</si>
  <si>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</si>
  <si>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</si>
  <si>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</si>
  <si>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</si>
  <si>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</si>
  <si>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</si>
  <si>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</si>
  <si>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</si>
  <si>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</si>
  <si>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</si>
  <si>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</si>
  <si>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</si>
  <si>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</si>
  <si>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</si>
  <si>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</si>
  <si>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</si>
  <si>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</si>
  <si>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</si>
  <si>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</si>
  <si>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</si>
  <si>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</si>
  <si>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</si>
  <si>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</si>
  <si>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</si>
  <si>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</si>
  <si>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</si>
  <si>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</si>
  <si>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</si>
  <si>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</si>
  <si>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</si>
  <si>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</si>
  <si>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</si>
  <si>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</si>
  <si>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</si>
  <si>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</si>
  <si>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</si>
  <si>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</si>
  <si>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</si>
  <si>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</si>
  <si>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</si>
  <si>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</si>
  <si>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</si>
  <si>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</si>
  <si>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</si>
  <si>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</si>
  <si>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</si>
  <si>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</si>
  <si>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</si>
  <si>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</si>
  <si>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</si>
  <si>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</si>
  <si>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</si>
  <si>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</si>
  <si>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</si>
  <si>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</si>
  <si>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</si>
  <si>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</si>
  <si>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</si>
  <si>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</si>
  <si>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</si>
  <si>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</si>
  <si>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</si>
  <si>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</si>
  <si>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</si>
  <si>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</si>
  <si>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</si>
  <si>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</si>
  <si>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</si>
  <si>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</si>
  <si>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</si>
  <si>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</si>
  <si>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</si>
  <si>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</si>
  <si>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</si>
  <si>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</si>
  <si>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</si>
  <si>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</si>
  <si>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</si>
  <si>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</si>
  <si>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</si>
  <si>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</si>
  <si>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</si>
  <si>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</si>
  <si>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</si>
  <si>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</si>
  <si>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</si>
  <si>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</si>
  <si>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</si>
  <si>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</si>
  <si>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</si>
  <si>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</si>
  <si>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</si>
  <si>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</si>
  <si>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</si>
  <si>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</si>
  <si>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</si>
  <si>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</si>
  <si>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</si>
  <si>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</si>
  <si>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</si>
  <si>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</si>
  <si>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</si>
  <si>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</si>
  <si>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</si>
  <si>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</si>
  <si>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</si>
  <si>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</si>
  <si>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</si>
  <si>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</si>
  <si>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</si>
  <si>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</si>
  <si>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</si>
  <si>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</si>
  <si>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</si>
  <si>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</si>
  <si>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</si>
  <si>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</si>
  <si>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</si>
  <si>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</si>
  <si>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</si>
  <si>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</si>
  <si>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</si>
  <si>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</si>
  <si>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</si>
  <si>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</si>
  <si>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</si>
  <si>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</si>
  <si>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</si>
  <si>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</si>
  <si>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</si>
  <si>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</si>
  <si>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</si>
  <si>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</si>
  <si>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</si>
  <si>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</si>
  <si>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</si>
  <si>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</si>
  <si>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</si>
  <si>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</si>
  <si>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</si>
  <si>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</si>
  <si>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</si>
  <si>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</si>
  <si>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</si>
  <si>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</si>
  <si>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</si>
  <si>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</si>
  <si>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</si>
  <si>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</si>
  <si>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</si>
  <si>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</si>
  <si>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</si>
  <si>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</si>
  <si>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</si>
  <si>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</si>
  <si>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</si>
  <si>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</si>
  <si>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</si>
  <si>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</si>
  <si>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</si>
  <si>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</si>
  <si>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</si>
  <si>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</si>
  <si>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</si>
  <si>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</si>
  <si>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</si>
  <si>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</si>
  <si>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</si>
  <si>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</si>
  <si>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</si>
  <si>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</si>
  <si>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</si>
  <si>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</si>
  <si>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</si>
  <si>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</si>
  <si>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</si>
  <si>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</si>
  <si>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</si>
  <si>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</si>
  <si>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</si>
  <si>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</si>
  <si>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</si>
  <si>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</si>
  <si>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</si>
  <si>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</si>
  <si>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</si>
  <si>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</si>
  <si>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</si>
  <si>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</si>
  <si>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</si>
  <si>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</si>
  <si>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</si>
  <si>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</si>
  <si>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</si>
  <si>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</si>
  <si>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</si>
  <si>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</si>
  <si>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</si>
  <si>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</si>
  <si>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</si>
  <si>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</si>
  <si>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</si>
  <si>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</si>
  <si>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</si>
  <si>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</si>
  <si>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</si>
  <si>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</si>
  <si>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</si>
  <si>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</si>
  <si>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</si>
  <si>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</si>
  <si>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</si>
  <si>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</si>
  <si>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</si>
  <si>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</si>
  <si>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</si>
  <si>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</si>
  <si>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</si>
  <si>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</si>
  <si>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</si>
  <si>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</si>
  <si>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</si>
  <si>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</si>
  <si>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</si>
  <si>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</si>
  <si>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</si>
  <si>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</si>
  <si>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</si>
  <si>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</si>
  <si>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</si>
  <si>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</si>
  <si>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</si>
  <si>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</si>
  <si>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</si>
  <si>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</si>
  <si>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</si>
  <si>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</si>
  <si>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</si>
  <si>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</si>
  <si>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</si>
  <si>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</si>
  <si>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</si>
  <si>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</si>
  <si>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</si>
  <si>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</si>
  <si>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</si>
  <si>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</si>
  <si>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</si>
  <si>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</si>
  <si>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</si>
  <si>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</si>
  <si>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</si>
  <si>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</si>
  <si>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</si>
  <si>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</si>
  <si>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</si>
  <si>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</si>
  <si>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</si>
  <si>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</si>
  <si>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</si>
  <si>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</si>
  <si>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</si>
  <si>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</si>
  <si>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</si>
  <si>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</si>
  <si>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</si>
  <si>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</si>
  <si>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</si>
  <si>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</si>
  <si>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</si>
  <si>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</si>
  <si>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</si>
  <si>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</si>
  <si>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</si>
  <si>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</si>
  <si>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</si>
  <si>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</si>
  <si>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</si>
  <si>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</si>
  <si>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</si>
  <si>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</si>
  <si>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</si>
  <si>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</si>
  <si>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</si>
  <si>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</si>
  <si>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</si>
  <si>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</si>
  <si>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</si>
  <si>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</si>
  <si>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</si>
  <si>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</si>
  <si>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</si>
  <si>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</si>
  <si>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</si>
  <si>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</si>
  <si>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</si>
  <si>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</si>
  <si>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</si>
  <si>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</si>
  <si>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</si>
  <si>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</si>
  <si>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</si>
  <si>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</si>
  <si>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</si>
  <si>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</si>
  <si>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</si>
  <si>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</si>
  <si>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</si>
  <si>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</si>
  <si>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</si>
  <si>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</si>
  <si>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</si>
  <si>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</si>
  <si>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</si>
  <si>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</si>
  <si>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</si>
  <si>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</si>
  <si>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</si>
  <si>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</si>
  <si>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</si>
  <si>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</si>
  <si>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</si>
  <si>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</si>
  <si>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</si>
  <si>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</si>
  <si>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</si>
  <si>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</si>
  <si>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</si>
  <si>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</si>
  <si>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</si>
  <si>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</si>
  <si>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</si>
  <si>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</si>
  <si>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</si>
  <si>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</si>
  <si>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</si>
  <si>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</si>
  <si>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</si>
  <si>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</si>
  <si>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</si>
  <si>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</si>
  <si>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</si>
  <si>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</si>
  <si>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</si>
  <si>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</si>
  <si>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</si>
  <si>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</si>
  <si>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</si>
  <si>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</si>
  <si>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</si>
  <si>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</si>
  <si>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</si>
  <si>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</si>
  <si>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</si>
  <si>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</si>
  <si>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</si>
  <si>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</si>
  <si>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</si>
  <si>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</si>
  <si>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</si>
  <si>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</si>
  <si>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</si>
  <si>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</si>
  <si>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</si>
  <si>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</si>
  <si>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</si>
  <si>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</si>
  <si>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</si>
  <si>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</si>
  <si>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</si>
  <si>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</si>
  <si>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</si>
  <si>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</si>
  <si>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</si>
  <si>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</si>
  <si>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</si>
  <si>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</si>
  <si>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</si>
  <si>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</si>
  <si>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</si>
  <si>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</si>
  <si>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</si>
  <si>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</si>
  <si>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</si>
  <si>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</si>
  <si>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</si>
  <si>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</si>
  <si>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</si>
  <si>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</si>
  <si>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</si>
  <si>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</si>
  <si>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</si>
  <si>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</si>
  <si>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</si>
  <si>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</si>
  <si>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</si>
  <si>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</si>
  <si>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</si>
  <si>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</si>
  <si>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</si>
  <si>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</si>
  <si>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</si>
  <si>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</si>
  <si>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</si>
  <si>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</si>
  <si>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</si>
  <si>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</si>
  <si>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</si>
  <si>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</si>
  <si>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</si>
  <si>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</si>
  <si>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</si>
  <si>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</si>
  <si>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</si>
  <si>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</si>
  <si>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</si>
  <si>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</si>
  <si>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</si>
  <si>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</si>
  <si>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</si>
  <si>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</si>
  <si>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</si>
  <si>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</si>
  <si>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</si>
  <si>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</si>
  <si>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</si>
  <si>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</si>
  <si>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</si>
  <si>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</si>
  <si>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</si>
  <si>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</si>
  <si>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</si>
  <si>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</si>
  <si>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</si>
  <si>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</si>
  <si>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</si>
  <si>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</si>
  <si>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</si>
  <si>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</si>
  <si>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</si>
  <si>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</si>
  <si>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</si>
  <si>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</si>
  <si>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</si>
  <si>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</si>
  <si>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</si>
  <si>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</si>
  <si>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</si>
  <si>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</si>
  <si>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</si>
  <si>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</si>
  <si>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</si>
  <si>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</si>
  <si>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</si>
  <si>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</si>
  <si>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</si>
  <si>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</si>
  <si>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</si>
  <si>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</si>
  <si>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</si>
  <si>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</si>
  <si>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</si>
  <si>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</si>
  <si>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</si>
  <si>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</si>
  <si>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</si>
  <si>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</si>
  <si>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</si>
  <si>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</si>
  <si>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</si>
  <si>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</si>
  <si>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</si>
  <si>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</si>
  <si>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</si>
  <si>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</si>
  <si>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</si>
  <si>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</si>
  <si>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</si>
  <si>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</si>
  <si>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</si>
  <si>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</si>
  <si>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</si>
  <si>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</si>
  <si>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</si>
  <si>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</si>
  <si>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</si>
  <si>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</si>
  <si>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</si>
  <si>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</si>
  <si>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</si>
  <si>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</si>
  <si>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</si>
  <si>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</si>
  <si>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</si>
  <si>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</si>
  <si>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</si>
  <si>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</si>
  <si>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</si>
  <si>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</si>
  <si>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</si>
  <si>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</si>
  <si>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</si>
  <si>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</si>
  <si>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</si>
  <si>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</si>
  <si>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</si>
  <si>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</si>
  <si>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</si>
  <si>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</si>
  <si>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</si>
  <si>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</si>
  <si>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</si>
  <si>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</si>
  <si>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</si>
  <si>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</si>
  <si>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</si>
  <si>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</si>
  <si>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</si>
  <si>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</si>
  <si>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</si>
  <si>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</si>
  <si>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</si>
  <si>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</si>
  <si>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</si>
  <si>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</si>
  <si>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</si>
  <si>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</si>
  <si>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</si>
  <si>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</si>
  <si>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</si>
  <si>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</si>
  <si>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</si>
  <si>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</si>
  <si>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</si>
  <si>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</si>
  <si>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</si>
  <si>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</si>
  <si>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</si>
  <si>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</si>
  <si>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</si>
  <si>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</si>
  <si>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</si>
  <si>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</si>
  <si>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</si>
  <si>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</si>
  <si>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</si>
  <si>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</si>
  <si>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</si>
  <si>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</si>
  <si>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</si>
  <si>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</si>
  <si>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</si>
  <si>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</si>
  <si>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</si>
  <si>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</si>
  <si>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</si>
  <si>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</si>
  <si>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</si>
  <si>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</si>
  <si>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</si>
  <si>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</si>
  <si>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</si>
  <si>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</si>
  <si>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</si>
  <si>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</si>
  <si>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</si>
  <si>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</si>
  <si>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</si>
  <si>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</si>
  <si>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</si>
  <si>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</si>
  <si>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</si>
  <si>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</si>
  <si>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</si>
  <si>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</si>
  <si>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</si>
  <si>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</si>
  <si>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</si>
  <si>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</si>
  <si>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</si>
  <si>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</si>
  <si>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</si>
  <si>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</si>
  <si>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</si>
  <si>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</si>
  <si>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</si>
  <si>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</si>
  <si>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</si>
  <si>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</si>
  <si>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</si>
  <si>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</si>
  <si>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</si>
  <si>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</si>
  <si>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</si>
  <si>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</si>
  <si>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</si>
  <si>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</si>
  <si>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</si>
  <si>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</si>
  <si>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</si>
  <si>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</si>
  <si>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</si>
  <si>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</si>
  <si>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</si>
  <si>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</si>
  <si>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</si>
  <si>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</si>
  <si>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</si>
  <si>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</si>
  <si>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</si>
  <si>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</si>
  <si>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</si>
  <si>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</si>
  <si>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</si>
  <si>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</si>
  <si>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</si>
  <si>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</si>
  <si>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</si>
  <si>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</si>
  <si>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</si>
  <si>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</si>
  <si>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</si>
  <si>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</si>
  <si>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</si>
  <si>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</si>
  <si>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</si>
  <si>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</si>
  <si>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</si>
  <si>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</si>
  <si>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</si>
  <si>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</si>
  <si>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</si>
  <si>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</si>
  <si>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</si>
  <si>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</si>
  <si>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</si>
  <si>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</si>
  <si>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</si>
  <si>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</si>
  <si>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</si>
  <si>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</si>
  <si>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</si>
  <si>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</si>
  <si>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</si>
  <si>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</si>
  <si>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</si>
  <si>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</si>
  <si>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</si>
  <si>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</si>
  <si>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</si>
  <si>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</si>
  <si>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</si>
  <si>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</si>
  <si>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</si>
  <si>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</si>
  <si>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</si>
  <si>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</si>
  <si>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</si>
  <si>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</si>
  <si>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</si>
  <si>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</si>
  <si>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</si>
  <si>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</si>
  <si>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</si>
  <si>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</si>
  <si>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</si>
  <si>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</si>
  <si>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</si>
  <si>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</si>
  <si>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</si>
  <si>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</si>
  <si>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</si>
  <si>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</si>
  <si>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</si>
  <si>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</si>
  <si>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</si>
  <si>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</si>
  <si>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</si>
  <si>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</si>
  <si>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</si>
  <si>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</si>
  <si>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</si>
  <si>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</si>
  <si>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</si>
  <si>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</si>
  <si>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</si>
  <si>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</si>
  <si>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</si>
  <si>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</si>
  <si>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</si>
  <si>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</si>
  <si>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</si>
  <si>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</si>
  <si>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</si>
  <si>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</si>
  <si>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</si>
  <si>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</si>
  <si>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</si>
  <si>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</si>
  <si>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</si>
  <si>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</si>
  <si>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</si>
  <si>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</si>
  <si>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</si>
  <si>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</si>
  <si>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</si>
  <si>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</si>
  <si>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</si>
  <si>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</si>
  <si>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</si>
  <si>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</si>
  <si>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</si>
  <si>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</si>
  <si>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</si>
  <si>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</si>
  <si>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</si>
  <si>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</si>
  <si>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</si>
  <si>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</si>
  <si>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</si>
  <si>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</si>
  <si>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</si>
  <si>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</si>
  <si>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</si>
  <si>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</si>
  <si>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</si>
  <si>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</si>
  <si>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</si>
  <si>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</si>
  <si>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</si>
  <si>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</si>
  <si>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</si>
  <si>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</si>
  <si>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</si>
  <si>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</si>
  <si>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</si>
  <si>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</si>
  <si>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</si>
  <si>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</si>
  <si>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</si>
  <si>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</si>
  <si>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</si>
  <si>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</si>
  <si>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</si>
  <si>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</si>
  <si>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</si>
  <si>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</si>
  <si>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</si>
  <si>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</si>
  <si>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</si>
  <si>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</si>
  <si>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</si>
  <si>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</si>
  <si>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</si>
  <si>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</si>
  <si>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</si>
  <si>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</si>
  <si>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</si>
  <si>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</si>
  <si>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</si>
  <si>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</si>
  <si>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</si>
  <si>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</si>
  <si>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</si>
  <si>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</si>
  <si>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</si>
  <si>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</si>
  <si>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</si>
  <si>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</si>
  <si>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</si>
  <si>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</si>
  <si>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</si>
  <si>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</si>
  <si>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</si>
  <si>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</si>
  <si>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</si>
  <si>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</si>
  <si>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</si>
  <si>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</si>
  <si>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</si>
  <si>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</si>
  <si>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</si>
  <si>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</si>
  <si>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</si>
  <si>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</si>
  <si>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</si>
  <si>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</si>
  <si>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</si>
  <si>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</si>
  <si>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</si>
  <si>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</si>
  <si>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</si>
  <si>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</si>
  <si>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</si>
  <si>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</si>
  <si>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</si>
  <si>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</si>
  <si>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</si>
  <si>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</si>
  <si>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</si>
  <si>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</si>
  <si>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</si>
  <si>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</si>
  <si>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</si>
  <si>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</si>
  <si>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</si>
  <si>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</si>
  <si>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</si>
  <si>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</si>
  <si>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</si>
  <si>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</si>
  <si>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</si>
  <si>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</si>
  <si>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</si>
  <si>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</si>
  <si>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</si>
  <si>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</si>
  <si>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</si>
  <si>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</si>
  <si>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</si>
  <si>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</si>
  <si>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</si>
  <si>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</si>
  <si>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</si>
  <si>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</si>
  <si>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</si>
  <si>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</si>
  <si>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</si>
  <si>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</si>
  <si>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</si>
  <si>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</si>
  <si>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</si>
  <si>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</si>
  <si>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</si>
  <si>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</si>
  <si>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</si>
  <si>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</si>
  <si>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</si>
  <si>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</si>
  <si>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</si>
  <si>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</si>
  <si>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</si>
  <si>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</si>
  <si>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</si>
  <si>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</si>
  <si>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</si>
  <si>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</si>
  <si>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</si>
  <si>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</si>
  <si>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</si>
  <si>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</si>
  <si>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</si>
  <si>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</si>
  <si>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</si>
  <si>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</si>
  <si>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</si>
  <si>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</si>
  <si>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</si>
  <si>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</si>
  <si>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</si>
  <si>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</si>
  <si>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</si>
  <si>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</si>
  <si>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</si>
  <si>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</si>
  <si>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</si>
  <si>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</si>
  <si>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</si>
  <si>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</si>
  <si>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</si>
  <si>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</si>
  <si>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</si>
  <si>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</si>
  <si>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</si>
  <si>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</si>
  <si>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</si>
  <si>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</si>
  <si>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</si>
  <si>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</si>
  <si>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</si>
  <si>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</si>
  <si>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</si>
  <si>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</si>
  <si>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</si>
  <si>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</si>
  <si>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</si>
  <si>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</si>
  <si>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</si>
  <si>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</si>
  <si>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</si>
  <si>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</si>
  <si>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</si>
  <si>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</si>
  <si>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</si>
  <si>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</si>
  <si>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</si>
  <si>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</si>
  <si>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</si>
  <si>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</si>
  <si>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</si>
  <si>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</si>
  <si>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</si>
  <si>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</si>
  <si>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</si>
  <si>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</si>
  <si>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</si>
  <si>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</si>
  <si>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</si>
  <si>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</si>
  <si>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</si>
  <si>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</si>
  <si>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</si>
  <si>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</si>
  <si>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</si>
  <si>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</si>
  <si>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</si>
  <si>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</si>
  <si>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</si>
  <si>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</si>
  <si>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</si>
  <si>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</si>
  <si>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</si>
  <si>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</si>
  <si>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</si>
  <si>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</si>
  <si>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</si>
  <si>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</si>
  <si>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</si>
  <si>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</si>
  <si>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</si>
  <si>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</si>
  <si>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</si>
  <si>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</si>
  <si>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</si>
  <si>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</si>
  <si>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</si>
  <si>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</si>
  <si>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</si>
  <si>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</si>
  <si>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</si>
  <si>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</si>
  <si>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</si>
  <si>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</si>
  <si>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</si>
  <si>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</si>
  <si>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</si>
  <si>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</si>
  <si>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</si>
  <si>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</si>
  <si>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</si>
  <si>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</si>
  <si>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</si>
  <si>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</si>
  <si>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</si>
  <si>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</si>
  <si>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</si>
  <si>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</si>
  <si>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</si>
  <si>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</si>
  <si>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</si>
  <si>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</si>
  <si>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</si>
  <si>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</si>
  <si>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</si>
  <si>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</si>
  <si>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</si>
  <si>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</si>
  <si>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</si>
  <si>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</si>
  <si>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</si>
  <si>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</si>
  <si>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</si>
  <si>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</si>
  <si>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</si>
  <si>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</si>
  <si>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</si>
  <si>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</si>
  <si>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</si>
  <si>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</si>
  <si>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</si>
  <si>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</si>
  <si>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</si>
  <si>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</si>
  <si>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</si>
  <si>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</si>
  <si>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</si>
  <si>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</si>
  <si>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</si>
  <si>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</si>
  <si>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</si>
  <si>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</si>
  <si>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</si>
  <si>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</si>
  <si>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</si>
  <si>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</si>
  <si>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</si>
  <si>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</si>
  <si>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</si>
  <si>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</si>
  <si>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</si>
  <si>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</si>
  <si>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</si>
  <si>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</si>
  <si>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</si>
  <si>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</si>
  <si>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</si>
  <si>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</si>
  <si>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</si>
  <si>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</si>
  <si>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</si>
  <si>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</si>
  <si>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</si>
  <si>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</si>
  <si>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</si>
  <si>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</si>
  <si>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</si>
  <si>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</si>
  <si>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</si>
  <si>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</si>
  <si>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</si>
  <si>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</si>
  <si>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</si>
  <si>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</si>
  <si>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</si>
  <si>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</si>
  <si>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</si>
  <si>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</si>
  <si>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</si>
  <si>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</si>
  <si>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</si>
  <si>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</si>
  <si>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</si>
  <si>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</si>
  <si>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</si>
  <si>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</si>
  <si>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</si>
  <si>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</si>
  <si>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</si>
  <si>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</si>
  <si>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</si>
  <si>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</si>
  <si>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</si>
  <si>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</si>
  <si>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</si>
  <si>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</si>
  <si>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</si>
  <si>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</si>
  <si>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</si>
  <si>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</si>
  <si>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</si>
  <si>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</si>
  <si>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</si>
  <si>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</si>
  <si>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</si>
  <si>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</si>
  <si>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</si>
  <si>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</si>
  <si>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</si>
  <si>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</si>
  <si>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</si>
  <si>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</si>
  <si>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</si>
  <si>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</si>
  <si>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</si>
  <si>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</si>
  <si>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</si>
  <si>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</si>
  <si>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</si>
  <si>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</si>
  <si>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</si>
  <si>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</si>
  <si>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</si>
  <si>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</si>
  <si>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</si>
  <si>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</si>
  <si>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</si>
  <si>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</si>
  <si>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</si>
  <si>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</si>
  <si>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</si>
  <si>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</si>
  <si>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</si>
  <si>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</si>
  <si>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</si>
  <si>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</si>
  <si>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</si>
  <si>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</si>
  <si>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</si>
  <si>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</si>
  <si>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</si>
  <si>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</si>
  <si>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</si>
  <si>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</si>
  <si>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</si>
  <si>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</si>
  <si>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</si>
  <si>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</si>
  <si>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</si>
  <si>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</si>
  <si>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</si>
  <si>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</si>
  <si>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</si>
  <si>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</si>
  <si>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</si>
  <si>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</si>
  <si>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</si>
  <si>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</si>
  <si>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</si>
  <si>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</si>
  <si>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</si>
  <si>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</si>
  <si>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</si>
  <si>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</si>
  <si>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</si>
  <si>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</si>
  <si>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</si>
  <si>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</si>
  <si>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</si>
  <si>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</si>
  <si>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</si>
  <si>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</si>
  <si>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</si>
  <si>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</si>
  <si>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</si>
  <si>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</si>
  <si>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</si>
  <si>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</si>
  <si>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</si>
  <si>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</si>
  <si>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</si>
  <si>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</si>
  <si>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</si>
  <si>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</si>
  <si>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</si>
  <si>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</si>
  <si>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</si>
  <si>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</si>
  <si>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</si>
  <si>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</si>
  <si>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</si>
  <si>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</si>
  <si>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</si>
  <si>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</si>
  <si>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</si>
  <si>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</si>
  <si>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</si>
  <si>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</si>
  <si>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</si>
  <si>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</si>
  <si>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</si>
  <si>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</si>
  <si>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</si>
  <si>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</si>
  <si>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</si>
  <si>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</si>
  <si>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</si>
  <si>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</si>
  <si>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</si>
  <si>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</si>
  <si>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</si>
  <si>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</si>
  <si>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</si>
  <si>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</si>
  <si>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</si>
  <si>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</si>
  <si>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</si>
  <si>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</si>
  <si>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</si>
  <si>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</si>
  <si>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</si>
  <si>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</si>
  <si>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</si>
  <si>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</si>
  <si>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</si>
  <si>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</si>
  <si>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</si>
  <si>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</si>
  <si>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</si>
  <si>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</si>
  <si>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</si>
  <si>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</si>
  <si>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</si>
  <si>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</si>
  <si>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</si>
  <si>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</si>
  <si>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</si>
  <si>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</si>
  <si>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</si>
  <si>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</si>
  <si>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</si>
  <si>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</si>
  <si>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</si>
  <si>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</si>
  <si>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</si>
  <si>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</si>
  <si>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</si>
  <si>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</si>
  <si>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</si>
  <si>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</si>
  <si>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</si>
  <si>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</si>
  <si>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</si>
  <si>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</si>
  <si>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</si>
  <si>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</si>
  <si>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</si>
  <si>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</si>
  <si>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</si>
  <si>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</si>
  <si>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</si>
  <si>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</si>
  <si>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</si>
  <si>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</si>
  <si>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</si>
  <si>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</si>
  <si>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</si>
  <si>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</si>
  <si>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</si>
  <si>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</si>
  <si>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</si>
  <si>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</si>
  <si>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</si>
  <si>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</si>
  <si>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</si>
  <si>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</si>
  <si>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</si>
  <si>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</si>
  <si>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</si>
  <si>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</si>
  <si>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</si>
  <si>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</si>
  <si>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</si>
  <si>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</si>
  <si>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</si>
  <si>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</si>
  <si>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</si>
  <si>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</si>
  <si>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</si>
  <si>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</si>
  <si>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</si>
  <si>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</si>
  <si>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</si>
  <si>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</si>
  <si>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</si>
  <si>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</si>
  <si>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</si>
  <si>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</si>
  <si>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</si>
  <si>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</si>
  <si>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</si>
  <si>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</si>
  <si>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</si>
  <si>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</si>
  <si>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</si>
  <si>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</si>
  <si>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</si>
  <si>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</si>
  <si>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</si>
  <si>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</si>
  <si>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</si>
  <si>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</si>
  <si>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</si>
  <si>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</si>
  <si>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</si>
  <si>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</si>
  <si>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</si>
  <si>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</si>
  <si>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</si>
  <si>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</si>
  <si>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</si>
  <si>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</si>
  <si>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</si>
  <si>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</si>
  <si>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</si>
  <si>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</si>
  <si>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</si>
  <si>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</si>
  <si>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</si>
  <si>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</si>
  <si>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</si>
  <si>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</si>
  <si>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</si>
  <si>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</si>
  <si>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</si>
  <si>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</si>
  <si>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</si>
  <si>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</si>
  <si>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</si>
  <si>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</si>
  <si>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</si>
  <si>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</si>
  <si>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</si>
  <si>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</si>
  <si>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</si>
  <si>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</si>
  <si>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</si>
  <si>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</si>
  <si>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</si>
  <si>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</si>
  <si>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</si>
  <si>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</si>
  <si>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</si>
  <si>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</si>
  <si>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</si>
  <si>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</si>
  <si>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</si>
  <si>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</si>
  <si>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</si>
  <si>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</si>
  <si>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</si>
  <si>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</si>
  <si>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</si>
  <si>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</si>
  <si>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</si>
  <si>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</si>
  <si>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</si>
  <si>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</si>
  <si>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</si>
  <si>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</si>
  <si>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</si>
  <si>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</si>
  <si>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</si>
  <si>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</si>
  <si>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</si>
  <si>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</si>
  <si>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</si>
  <si>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</si>
  <si>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</si>
  <si>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</si>
  <si>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</si>
  <si>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</si>
  <si>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</si>
  <si>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</si>
  <si>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</si>
  <si>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</si>
  <si>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</si>
  <si>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</si>
  <si>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</si>
  <si>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</si>
  <si>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</si>
  <si>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</si>
  <si>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</si>
  <si>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</si>
  <si>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</si>
  <si>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</si>
  <si>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</si>
  <si>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</si>
  <si>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</si>
  <si>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</si>
  <si>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</si>
  <si>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</si>
  <si>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</si>
  <si>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</si>
  <si>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</si>
  <si>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</si>
  <si>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</si>
  <si>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</si>
  <si>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</si>
  <si>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</si>
  <si>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</si>
  <si>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</si>
  <si>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</si>
  <si>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</si>
  <si>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</si>
  <si>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</si>
  <si>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</si>
  <si>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</si>
  <si>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</si>
  <si>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</si>
  <si>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</si>
  <si>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</si>
  <si>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</si>
  <si>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</si>
  <si>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</si>
  <si>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</si>
  <si>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</si>
  <si>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</si>
  <si>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</si>
  <si>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</si>
  <si>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</si>
  <si>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</si>
  <si>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</si>
  <si>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</si>
  <si>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</si>
  <si>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</si>
  <si>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</si>
  <si>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</si>
  <si>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</si>
  <si>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</si>
  <si>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</si>
  <si>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</si>
  <si>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</si>
  <si>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</si>
  <si>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</si>
  <si>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</si>
  <si>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</si>
  <si>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</si>
  <si>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</si>
  <si>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</si>
  <si>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</si>
  <si>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</si>
  <si>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</si>
  <si>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</si>
  <si>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</si>
  <si>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</si>
  <si>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</si>
  <si>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</si>
  <si>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</si>
  <si>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</si>
  <si>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</si>
  <si>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</si>
  <si>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</si>
  <si>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</si>
  <si>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</si>
  <si>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</si>
  <si>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</si>
  <si>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</si>
  <si>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</si>
  <si>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</si>
  <si>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</si>
  <si>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</si>
  <si>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</si>
  <si>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</si>
  <si>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</si>
  <si>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</si>
  <si>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</si>
  <si>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</si>
  <si>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</si>
  <si>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</si>
  <si>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</si>
  <si>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</si>
  <si>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</si>
  <si>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</si>
  <si>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</si>
  <si>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</si>
  <si>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</si>
  <si>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</si>
  <si>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</si>
  <si>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</si>
  <si>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</si>
  <si>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</si>
  <si>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</si>
  <si>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</si>
  <si>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</si>
  <si>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</si>
  <si>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</si>
  <si>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</si>
  <si>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</si>
  <si>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</si>
  <si>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</si>
  <si>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</si>
  <si>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</si>
  <si>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</si>
  <si>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</si>
  <si>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</si>
  <si>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</si>
  <si>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</si>
  <si>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</si>
  <si>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</si>
  <si>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</si>
  <si>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</si>
  <si>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</si>
  <si>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</si>
  <si>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</si>
  <si>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</si>
  <si>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</si>
  <si>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</si>
  <si>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</si>
  <si>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</si>
  <si>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</si>
  <si>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</si>
  <si>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</si>
  <si>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</si>
  <si>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</si>
  <si>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</si>
  <si>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</si>
  <si>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</si>
  <si>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</si>
  <si>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</si>
  <si>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</si>
  <si>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</si>
  <si>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</si>
  <si>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</si>
  <si>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</si>
  <si>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</si>
  <si>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</si>
  <si>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</si>
  <si>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</si>
  <si>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</si>
  <si>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</si>
  <si>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</si>
  <si>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</si>
  <si>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</si>
  <si>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</si>
  <si>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</si>
  <si>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</si>
  <si>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</si>
  <si>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</si>
  <si>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</si>
  <si>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</si>
  <si>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</si>
  <si>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</si>
  <si>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</si>
  <si>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</si>
  <si>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</si>
  <si>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</si>
  <si>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</si>
  <si>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</si>
  <si>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</si>
  <si>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</si>
  <si>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</si>
  <si>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</si>
  <si>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</si>
  <si>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</si>
  <si>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</si>
  <si>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</si>
  <si>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</si>
  <si>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</si>
  <si>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</si>
  <si>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</si>
  <si>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</si>
  <si>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</si>
  <si>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</si>
  <si>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</si>
  <si>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</si>
  <si>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</si>
  <si>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</si>
  <si>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</si>
  <si>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</si>
  <si>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</si>
  <si>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</si>
  <si>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</si>
  <si>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</si>
  <si>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</si>
  <si>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</si>
  <si>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</si>
  <si>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</si>
  <si>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</si>
  <si>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</si>
  <si>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</si>
  <si>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</si>
  <si>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</si>
  <si>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</si>
  <si>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</si>
  <si>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</si>
  <si>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</si>
  <si>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</si>
  <si>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</si>
  <si>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</si>
  <si>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</si>
  <si>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</si>
  <si>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</si>
  <si>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</si>
  <si>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</si>
  <si>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</si>
  <si>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</si>
  <si>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</si>
  <si>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</si>
  <si>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</si>
  <si>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</si>
  <si>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</si>
  <si>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</si>
  <si>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</si>
  <si>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</si>
  <si>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</si>
  <si>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</si>
  <si>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</si>
  <si>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</si>
  <si>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</si>
  <si>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</si>
  <si>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</si>
  <si>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</si>
  <si>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</si>
  <si>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</si>
  <si>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</si>
  <si>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</si>
  <si>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</si>
  <si>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</si>
  <si>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</si>
  <si>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</si>
  <si>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</si>
  <si>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</si>
  <si>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</si>
  <si>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</si>
  <si>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</si>
  <si>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</si>
  <si>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</si>
  <si>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</si>
  <si>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</si>
  <si>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</si>
  <si>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</si>
  <si>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</si>
  <si>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</si>
  <si>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</si>
  <si>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</si>
  <si>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</si>
  <si>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</si>
  <si>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</si>
  <si>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</si>
  <si>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</si>
  <si>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</si>
  <si>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</si>
  <si>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</si>
  <si>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</si>
  <si>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</si>
  <si>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</si>
  <si>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</si>
  <si>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</si>
  <si>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</si>
  <si>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</si>
  <si>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</si>
  <si>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</si>
  <si>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</si>
  <si>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</si>
  <si>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</si>
  <si>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</si>
  <si>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</si>
  <si>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</si>
  <si>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</si>
  <si>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</si>
  <si>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</si>
  <si>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</si>
  <si>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</si>
  <si>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</si>
  <si>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</si>
  <si>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</si>
  <si>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</si>
  <si>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</si>
  <si>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</si>
  <si>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</si>
  <si>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</si>
  <si>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</si>
  <si>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</si>
  <si>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</si>
  <si>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</si>
  <si>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</si>
  <si>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</si>
  <si>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</si>
  <si>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</si>
  <si>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</si>
  <si>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</si>
  <si>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</si>
  <si>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</si>
  <si>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</si>
  <si>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</si>
  <si>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</si>
  <si>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</si>
  <si>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</si>
  <si>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</si>
  <si>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</si>
  <si>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</si>
  <si>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</si>
  <si>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</si>
  <si>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</si>
  <si>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</si>
  <si>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</si>
  <si>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</si>
  <si>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</si>
  <si>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</si>
  <si>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</si>
  <si>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</si>
  <si>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</si>
  <si>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</si>
  <si>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</si>
  <si>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</si>
  <si>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</si>
  <si>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</si>
  <si>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</si>
  <si>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</si>
  <si>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</si>
  <si>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</si>
  <si>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</si>
  <si>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</si>
  <si>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</si>
  <si>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</si>
  <si>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</si>
  <si>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</si>
  <si>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</si>
  <si>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</si>
  <si>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</si>
  <si>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</si>
  <si>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</si>
  <si>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</si>
  <si>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</si>
  <si>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</si>
  <si>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</si>
  <si>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</si>
  <si>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</si>
  <si>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</si>
  <si>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</si>
  <si>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</si>
  <si>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</si>
  <si>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</si>
  <si>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</si>
  <si>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</si>
  <si>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</si>
  <si>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</si>
  <si>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</si>
  <si>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</si>
  <si>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</si>
  <si>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</si>
  <si>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</si>
  <si>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</si>
  <si>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</si>
  <si>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</si>
  <si>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</si>
  <si>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</si>
  <si>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</si>
  <si>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</si>
  <si>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</si>
  <si>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</si>
  <si>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</si>
  <si>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</si>
  <si>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</si>
  <si>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</si>
  <si>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</si>
  <si>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</si>
  <si>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</si>
  <si>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</si>
  <si>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</si>
  <si>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</si>
  <si>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</si>
  <si>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</si>
  <si>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</si>
  <si>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</si>
  <si>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</si>
  <si>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</si>
  <si>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</si>
  <si>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</si>
  <si>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</si>
  <si>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</si>
  <si>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</si>
  <si>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</si>
  <si>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</si>
  <si>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</si>
  <si>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</si>
  <si>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</si>
  <si>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</si>
  <si>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</si>
  <si>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</si>
  <si>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</si>
  <si>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</si>
  <si>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</si>
  <si>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</si>
  <si>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</si>
  <si>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</si>
  <si>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</si>
  <si>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</si>
  <si>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</si>
  <si>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</si>
  <si>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</si>
  <si>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</si>
  <si>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</si>
  <si>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</si>
  <si>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</si>
  <si>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</si>
  <si>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</si>
  <si>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</si>
  <si>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</si>
  <si>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</si>
  <si>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</si>
  <si>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</si>
  <si>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</si>
  <si>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</si>
  <si>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</si>
  <si>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</si>
  <si>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</si>
  <si>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</si>
  <si>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</si>
  <si>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</si>
  <si>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</si>
  <si>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</si>
  <si>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</si>
  <si>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</si>
  <si>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</si>
  <si>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</si>
  <si>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</si>
  <si>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</si>
  <si>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</si>
  <si>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</si>
  <si>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</si>
  <si>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</si>
  <si>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</si>
  <si>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</si>
  <si>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</si>
  <si>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</si>
  <si>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</si>
  <si>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</si>
  <si>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</si>
  <si>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</si>
  <si>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</si>
  <si>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</si>
  <si>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</si>
  <si>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</si>
  <si>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</si>
  <si>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</si>
  <si>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</si>
  <si>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</si>
  <si>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</si>
  <si>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</si>
  <si>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</si>
  <si>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</si>
  <si>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</si>
  <si>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</si>
  <si>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</si>
  <si>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</si>
  <si>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</si>
  <si>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</si>
  <si>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</si>
  <si>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</si>
  <si>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</si>
  <si>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</si>
  <si>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</si>
  <si>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</si>
  <si>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</si>
  <si>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</si>
  <si>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</si>
  <si>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</si>
  <si>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</si>
  <si>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</si>
  <si>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</si>
  <si>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</si>
  <si>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</si>
  <si>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</si>
  <si>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</si>
  <si>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</si>
  <si>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</si>
  <si>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</si>
  <si>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</si>
  <si>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</si>
  <si>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</si>
  <si>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</si>
  <si>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</si>
  <si>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</si>
  <si>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</si>
  <si>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</si>
  <si>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</si>
  <si>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</si>
  <si>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</si>
  <si>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</si>
  <si>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</si>
  <si>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</si>
  <si>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</si>
  <si>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</si>
  <si>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</si>
  <si>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</si>
  <si>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</si>
  <si>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</si>
  <si>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</si>
  <si>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</si>
  <si>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</si>
  <si>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</si>
  <si>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</si>
  <si>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</si>
  <si>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</si>
  <si>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</si>
  <si>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</si>
  <si>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</si>
  <si>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</si>
  <si>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</si>
  <si>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</si>
  <si>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</si>
  <si>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</si>
  <si>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</si>
  <si>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</si>
  <si>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</si>
  <si>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</si>
  <si>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</si>
  <si>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</si>
  <si>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</si>
  <si>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</si>
  <si>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</si>
  <si>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</si>
  <si>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</si>
  <si>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</si>
  <si>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</si>
  <si>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</si>
  <si>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</si>
  <si>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</si>
  <si>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</si>
  <si>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</si>
  <si>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</si>
  <si>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</si>
  <si>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</si>
  <si>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</si>
  <si>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</si>
  <si>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</si>
  <si>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</si>
  <si>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</si>
  <si>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</si>
  <si>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</si>
  <si>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</si>
  <si>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</si>
  <si>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</si>
  <si>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</si>
  <si>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</si>
  <si>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</si>
  <si>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</si>
  <si>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</si>
  <si>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</si>
  <si>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</si>
  <si>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</si>
  <si>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</si>
  <si>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</si>
  <si>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</si>
  <si>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</si>
  <si>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</si>
  <si>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</si>
  <si>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</si>
  <si>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</si>
  <si>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</si>
  <si>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</si>
  <si>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</si>
  <si>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</si>
  <si>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</si>
  <si>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</si>
  <si>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</si>
  <si>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</si>
  <si>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</si>
  <si>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</si>
  <si>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</si>
  <si>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</si>
  <si>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</si>
  <si>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</si>
  <si>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</si>
  <si>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</si>
  <si>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</si>
  <si>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</si>
  <si>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</si>
  <si>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</si>
  <si>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</si>
  <si>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</si>
  <si>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</si>
  <si>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</si>
  <si>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</si>
  <si>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</si>
  <si>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</si>
  <si>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</si>
  <si>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</si>
  <si>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</si>
  <si>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</si>
  <si>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</si>
  <si>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</si>
  <si>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</si>
  <si>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</si>
  <si>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</si>
  <si>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</si>
  <si>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</si>
  <si>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</si>
  <si>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</si>
  <si>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</si>
  <si>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</si>
  <si>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</si>
  <si>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</si>
  <si>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</si>
  <si>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</si>
  <si>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</si>
  <si>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</si>
  <si>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</si>
  <si>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</si>
  <si>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</si>
  <si>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</si>
  <si>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</si>
  <si>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</si>
  <si>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</si>
  <si>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</si>
  <si>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</si>
  <si>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</si>
  <si>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</si>
  <si>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</si>
  <si>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</si>
  <si>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</si>
  <si>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</si>
  <si>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</si>
  <si>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</si>
  <si>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</si>
  <si>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</si>
  <si>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</si>
  <si>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</si>
  <si>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</si>
  <si>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</si>
  <si>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</si>
  <si>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</si>
  <si>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</si>
  <si>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</si>
  <si>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</si>
  <si>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</si>
  <si>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</si>
  <si>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</si>
  <si>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</si>
  <si>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</si>
  <si>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</si>
  <si>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</si>
  <si>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</si>
  <si>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</si>
  <si>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</si>
  <si>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</si>
  <si>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</si>
  <si>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</si>
  <si>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</si>
  <si>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</si>
  <si>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</si>
  <si>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</si>
  <si>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</si>
  <si>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</si>
  <si>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</si>
  <si>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</si>
  <si>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</si>
  <si>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</si>
  <si>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</si>
  <si>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</si>
  <si>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</si>
  <si>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</si>
  <si>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</si>
  <si>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</si>
  <si>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</si>
  <si>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</si>
  <si>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</si>
  <si>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</si>
  <si>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</si>
  <si>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</si>
  <si>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</si>
  <si>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</si>
  <si>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</si>
  <si>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</si>
  <si>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</si>
  <si>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</si>
  <si>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</si>
  <si>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</si>
  <si>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</si>
  <si>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</si>
  <si>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</si>
  <si>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</si>
  <si>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</si>
  <si>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</si>
  <si>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</si>
  <si>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</si>
  <si>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</si>
  <si>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</si>
  <si>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</si>
  <si>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</si>
  <si>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</si>
  <si>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</si>
  <si>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</si>
  <si>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</si>
  <si>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</si>
  <si>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</si>
  <si>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</si>
  <si>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</si>
  <si>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</si>
  <si>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</si>
  <si>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</si>
  <si>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</si>
  <si>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</si>
  <si>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</si>
  <si>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</si>
  <si>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</si>
  <si>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</si>
  <si>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</si>
  <si>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</si>
  <si>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</si>
  <si>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</si>
  <si>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</si>
  <si>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</si>
  <si>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</si>
  <si>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</si>
  <si>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</si>
  <si>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</si>
  <si>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</si>
  <si>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</si>
  <si>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</si>
  <si>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</si>
  <si>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</si>
  <si>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</si>
  <si>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</si>
  <si>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</si>
  <si>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</si>
  <si>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</si>
  <si>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</si>
  <si>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</si>
  <si>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</si>
  <si>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</si>
  <si>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</si>
  <si>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</si>
  <si>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</si>
  <si>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</si>
  <si>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</si>
  <si>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</si>
  <si>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</si>
  <si>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</si>
  <si>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</si>
  <si>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</si>
  <si>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</si>
  <si>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</si>
  <si>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</si>
  <si>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</si>
  <si>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</si>
  <si>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</si>
  <si>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</si>
  <si>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</si>
  <si>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</si>
  <si>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</si>
  <si>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</si>
  <si>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</si>
  <si>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</si>
  <si>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</si>
  <si>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</si>
  <si>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</si>
  <si>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</si>
  <si>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</si>
  <si>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</si>
  <si>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</si>
  <si>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</si>
  <si>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</si>
  <si>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</si>
  <si>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</si>
  <si>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</si>
  <si>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</si>
  <si>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</si>
  <si>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</si>
  <si>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</si>
  <si>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</si>
  <si>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</si>
  <si>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</si>
  <si>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</si>
  <si>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</si>
  <si>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</si>
  <si>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</si>
  <si>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</si>
  <si>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</si>
  <si>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</si>
  <si>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</si>
  <si>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</si>
  <si>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</si>
  <si>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</si>
  <si>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</si>
  <si>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</si>
  <si>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</si>
  <si>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</si>
  <si>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</si>
  <si>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</si>
  <si>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</si>
  <si>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</si>
  <si>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</si>
  <si>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</si>
  <si>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</si>
  <si>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</si>
  <si>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</si>
  <si>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</si>
  <si>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</si>
  <si>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</si>
  <si>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</si>
  <si>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</si>
  <si>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</si>
  <si>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</si>
  <si>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</si>
  <si>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</si>
  <si>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</si>
  <si>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</si>
  <si>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</si>
  <si>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</si>
  <si>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</si>
  <si>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</si>
  <si>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</si>
  <si>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</si>
  <si>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</si>
  <si>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</si>
  <si>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</si>
  <si>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</si>
  <si>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</si>
  <si>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</si>
  <si>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</si>
  <si>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</si>
  <si>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</si>
  <si>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</si>
  <si>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</si>
  <si>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</si>
  <si>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</si>
  <si>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</si>
  <si>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</si>
  <si>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</si>
  <si>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</si>
  <si>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</si>
  <si>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</si>
  <si>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</si>
  <si>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</si>
  <si>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</si>
  <si>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</si>
  <si>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</si>
  <si>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</si>
  <si>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</si>
  <si>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</si>
  <si>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</si>
  <si>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</si>
  <si>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</si>
  <si>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</si>
  <si>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</si>
  <si>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</si>
  <si>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</si>
  <si>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</si>
  <si>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</si>
  <si>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</si>
  <si>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</si>
  <si>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</si>
  <si>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</si>
  <si>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</si>
  <si>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</si>
  <si>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</si>
  <si>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</si>
  <si>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</si>
  <si>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</si>
  <si>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</si>
  <si>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</si>
  <si>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</si>
  <si>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</si>
  <si>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</si>
  <si>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</si>
  <si>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</si>
  <si>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</si>
  <si>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</si>
  <si>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</si>
  <si>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</si>
  <si>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</si>
  <si>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</si>
  <si>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</si>
  <si>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</si>
  <si>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</si>
  <si>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</si>
  <si>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</si>
  <si>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</si>
  <si>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</si>
  <si>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</si>
  <si>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</si>
  <si>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</si>
  <si>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</si>
  <si>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</si>
  <si>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</si>
  <si>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</si>
  <si>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</si>
  <si>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</si>
  <si>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</si>
  <si>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</si>
  <si>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</si>
  <si>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</si>
  <si>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</si>
  <si>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</si>
  <si>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</si>
  <si>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</si>
  <si>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</si>
  <si>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</si>
  <si>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</si>
  <si>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</si>
  <si>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</si>
  <si>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</si>
  <si>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</si>
  <si>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</si>
  <si>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</si>
  <si>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</si>
  <si>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</si>
  <si>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</si>
  <si>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</si>
  <si>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</si>
  <si>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</si>
  <si>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</si>
  <si>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</si>
  <si>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</si>
  <si>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</si>
  <si>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</si>
  <si>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</si>
  <si>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</si>
  <si>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</si>
  <si>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</si>
  <si>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</si>
  <si>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</si>
  <si>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</si>
  <si>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</si>
  <si>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</si>
  <si>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</si>
  <si>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</si>
  <si>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</si>
  <si>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</si>
  <si>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</si>
  <si>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</si>
  <si>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</si>
  <si>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</si>
  <si>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</si>
  <si>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</si>
  <si>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</si>
  <si>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</si>
  <si>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</si>
  <si>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</si>
  <si>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</si>
  <si>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</si>
  <si>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</si>
  <si>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</si>
  <si>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</si>
  <si>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</si>
  <si>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</si>
  <si>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</si>
  <si>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</si>
  <si>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</si>
  <si>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</si>
  <si>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</si>
  <si>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</si>
  <si>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</si>
  <si>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</si>
  <si>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</si>
  <si>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</si>
  <si>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</si>
  <si>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</si>
  <si>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</si>
  <si>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</si>
  <si>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</si>
  <si>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</si>
  <si>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</si>
  <si>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</si>
  <si>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</si>
  <si>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</si>
  <si>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</si>
  <si>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</si>
  <si>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</si>
  <si>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</si>
  <si>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</si>
  <si>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</si>
  <si>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</si>
  <si>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</si>
  <si>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</si>
  <si>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</si>
  <si>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</si>
  <si>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</si>
  <si>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</si>
  <si>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</si>
  <si>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</si>
  <si>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</si>
  <si>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</si>
  <si>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</si>
  <si>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</si>
  <si>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</si>
  <si>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</si>
  <si>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</si>
  <si>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</si>
  <si>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</si>
  <si>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</si>
  <si>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</si>
  <si>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</si>
  <si>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</si>
  <si>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</si>
  <si>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</si>
  <si>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</si>
  <si>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</si>
  <si>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</si>
  <si>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</si>
  <si>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</si>
  <si>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</si>
  <si>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</si>
  <si>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</si>
  <si>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</si>
  <si>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</si>
  <si>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</si>
  <si>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</si>
  <si>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</si>
  <si>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</si>
  <si>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</si>
  <si>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</si>
  <si>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</si>
  <si>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</si>
  <si>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</si>
  <si>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</si>
  <si>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</si>
  <si>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</si>
  <si>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</si>
  <si>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</si>
  <si>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</si>
  <si>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</si>
  <si>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</si>
  <si>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</si>
  <si>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</si>
  <si>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</si>
  <si>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</si>
  <si>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</si>
  <si>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</si>
  <si>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</si>
  <si>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</si>
  <si>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</si>
  <si>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</si>
  <si>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</si>
  <si>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</si>
  <si>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</si>
  <si>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</si>
  <si>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</si>
  <si>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</si>
  <si>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</si>
  <si>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</si>
  <si>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</si>
  <si>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</si>
  <si>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</si>
  <si>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</si>
  <si>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</si>
  <si>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</si>
  <si>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</si>
  <si>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</si>
  <si>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</si>
  <si>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</si>
  <si>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</si>
  <si>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</si>
  <si>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</si>
  <si>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</si>
  <si>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</si>
  <si>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</si>
  <si>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</si>
  <si>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</si>
  <si>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</si>
  <si>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</si>
  <si>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</si>
  <si>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</si>
  <si>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</si>
  <si>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</si>
  <si>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</si>
  <si>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</si>
  <si>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</si>
  <si>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</si>
  <si>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</si>
  <si>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</si>
  <si>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</si>
  <si>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</si>
  <si>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</si>
  <si>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</si>
  <si>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</si>
  <si>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</si>
  <si>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</si>
  <si>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</si>
  <si>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</si>
  <si>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</si>
  <si>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</si>
  <si>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</si>
  <si>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</si>
  <si>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</si>
  <si>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</si>
  <si>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</si>
  <si>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</si>
  <si>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</si>
  <si>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</si>
  <si>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</si>
  <si>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</si>
  <si>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</si>
  <si>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</si>
  <si>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</si>
  <si>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</si>
  <si>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</si>
  <si>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</si>
  <si>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</si>
  <si>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</si>
  <si>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</si>
  <si>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</si>
  <si>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</si>
  <si>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</si>
  <si>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</si>
  <si>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</si>
  <si>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</si>
  <si>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</si>
  <si>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</si>
  <si>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</si>
  <si>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</si>
  <si>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</si>
  <si>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</si>
  <si>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</si>
  <si>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</si>
  <si>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</si>
  <si>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</si>
  <si>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</si>
  <si>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</si>
  <si>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</si>
  <si>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</si>
  <si>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</si>
  <si>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</si>
  <si>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</si>
  <si>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</si>
  <si>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</si>
  <si>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</si>
  <si>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</si>
  <si>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</si>
  <si>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</si>
  <si>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</si>
  <si>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</si>
  <si>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</si>
  <si>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</si>
  <si>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</si>
  <si>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</si>
  <si>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</si>
  <si>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</si>
  <si>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</si>
  <si>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</si>
  <si>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</si>
  <si>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</si>
  <si>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</si>
  <si>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</si>
  <si>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</si>
  <si>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</si>
  <si>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</si>
  <si>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</si>
  <si>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</si>
  <si>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</si>
  <si>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</si>
  <si>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</si>
  <si>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</si>
  <si>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</si>
  <si>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</si>
  <si>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</si>
  <si>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</si>
  <si>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</si>
  <si>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</si>
  <si>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</si>
  <si>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</si>
  <si>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</si>
  <si>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</si>
  <si>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</si>
  <si>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</si>
  <si>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</si>
  <si>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</si>
  <si>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</si>
  <si>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</si>
  <si>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</si>
  <si>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</si>
  <si>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</si>
  <si>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</si>
  <si>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</si>
  <si>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</si>
  <si>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</si>
  <si>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</si>
  <si>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</si>
  <si>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</si>
  <si>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</si>
  <si>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</si>
  <si>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</si>
  <si>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</si>
  <si>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</si>
  <si>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</si>
  <si>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</si>
  <si>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</si>
  <si>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</si>
  <si>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</si>
  <si>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</si>
  <si>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</si>
  <si>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</si>
  <si>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</si>
  <si>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</si>
  <si>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</si>
  <si>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</si>
  <si>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</si>
  <si>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</si>
  <si>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</si>
  <si>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</si>
  <si>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</si>
  <si>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</si>
  <si>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</si>
  <si>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</si>
  <si>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</si>
  <si>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</si>
  <si>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</si>
  <si>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</si>
  <si>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</si>
  <si>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</si>
  <si>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</si>
  <si>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</si>
  <si>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</si>
  <si>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</si>
  <si>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</si>
  <si>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</si>
  <si>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</si>
  <si>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</si>
  <si>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</si>
  <si>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</si>
  <si>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</si>
  <si>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</si>
  <si>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</si>
  <si>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</si>
  <si>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</si>
  <si>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</si>
  <si>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</si>
  <si>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</si>
  <si>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</si>
  <si>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</si>
  <si>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</si>
  <si>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</si>
  <si>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</si>
  <si>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</si>
  <si>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</si>
  <si>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</si>
  <si>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</si>
  <si>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</si>
  <si>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</si>
  <si>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</si>
  <si>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</si>
  <si>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</si>
  <si>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</si>
  <si>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</si>
  <si>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</si>
  <si>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</si>
  <si>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</si>
  <si>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</si>
  <si>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</si>
  <si>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</si>
  <si>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</si>
  <si>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</si>
  <si>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</si>
  <si>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</si>
  <si>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</si>
  <si>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</si>
  <si>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</si>
  <si>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</si>
  <si>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</si>
  <si>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</si>
  <si>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</si>
  <si>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</si>
  <si>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</si>
  <si>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</si>
  <si>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</si>
  <si>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</si>
  <si>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</si>
  <si>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</si>
  <si>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</si>
  <si>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</si>
  <si>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</si>
  <si>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</si>
  <si>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</si>
  <si>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</si>
  <si>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</si>
  <si>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</si>
  <si>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</si>
  <si>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</si>
  <si>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</si>
  <si>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</si>
  <si>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</si>
  <si>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</si>
  <si>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</si>
  <si>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</si>
  <si>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</si>
  <si>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</si>
  <si>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</si>
  <si>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</si>
  <si>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</si>
  <si>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</si>
  <si>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</si>
  <si>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</si>
  <si>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</si>
  <si>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</si>
  <si>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</si>
  <si>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</si>
  <si>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</si>
  <si>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</si>
  <si>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</si>
  <si>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</si>
  <si>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</si>
  <si>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</si>
  <si>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</si>
  <si>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</si>
  <si>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</si>
  <si>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</si>
  <si>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</si>
  <si>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</si>
  <si>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</si>
  <si>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</si>
  <si>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</si>
  <si>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</si>
  <si>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</si>
  <si>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</si>
  <si>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</si>
  <si>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</si>
  <si>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</si>
  <si>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</si>
  <si>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</si>
  <si>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</si>
  <si>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</si>
  <si>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</si>
  <si>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</si>
  <si>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</si>
  <si>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</si>
  <si>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</si>
  <si>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</si>
  <si>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</si>
  <si>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</si>
  <si>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</si>
  <si>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</si>
  <si>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</si>
  <si>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</si>
  <si>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</si>
  <si>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</si>
  <si>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</si>
  <si>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</si>
  <si>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</si>
  <si>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</si>
  <si>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</si>
  <si>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</si>
  <si>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</si>
  <si>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</si>
  <si>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</si>
  <si>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</si>
  <si>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</si>
  <si>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</si>
  <si>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</si>
  <si>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</si>
  <si>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</si>
  <si>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</si>
  <si>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</si>
  <si>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</si>
  <si>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</si>
  <si>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</si>
  <si>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</si>
  <si>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</si>
  <si>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</si>
  <si>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</si>
  <si>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</si>
  <si>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</si>
  <si>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</si>
  <si>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</si>
  <si>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</si>
  <si>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</si>
  <si>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</si>
  <si>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</si>
  <si>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</si>
  <si>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</si>
  <si>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</si>
  <si>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</si>
  <si>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</si>
  <si>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</si>
  <si>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</si>
  <si>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</si>
  <si>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</si>
  <si>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</si>
  <si>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</si>
  <si>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</si>
  <si>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</si>
  <si>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</si>
  <si>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</si>
  <si>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</si>
  <si>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</si>
  <si>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</si>
  <si>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</si>
  <si>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</si>
  <si>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</si>
  <si>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</si>
  <si>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</si>
  <si>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</si>
  <si>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</si>
  <si>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</si>
  <si>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</si>
  <si>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</si>
  <si>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</si>
  <si>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</si>
  <si>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</si>
  <si>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</si>
  <si>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</si>
  <si>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</si>
  <si>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</si>
  <si>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</si>
  <si>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</si>
  <si>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</si>
  <si>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</si>
  <si>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</si>
  <si>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</si>
  <si>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</si>
  <si>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</si>
  <si>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</si>
  <si>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</si>
  <si>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</si>
  <si>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</si>
  <si>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</si>
  <si>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</si>
  <si>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</si>
  <si>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</si>
  <si>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</si>
  <si>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</si>
  <si>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</si>
  <si>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</si>
  <si>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</si>
  <si>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</si>
  <si>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</si>
  <si>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</si>
  <si>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</si>
  <si>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</si>
  <si>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</si>
  <si>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</si>
  <si>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</si>
  <si>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</si>
  <si>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</si>
  <si>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</si>
  <si>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</si>
  <si>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</si>
  <si>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</si>
  <si>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</si>
  <si>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</si>
  <si>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</si>
  <si>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</si>
  <si>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</si>
  <si>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</si>
  <si>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</si>
  <si>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</si>
  <si>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</si>
  <si>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</si>
  <si>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</si>
  <si>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</si>
  <si>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</si>
  <si>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</si>
  <si>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</si>
  <si>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</si>
  <si>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</si>
  <si>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</si>
  <si>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</si>
  <si>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</si>
  <si>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</si>
  <si>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</si>
  <si>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</si>
  <si>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</si>
  <si>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</si>
  <si>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</si>
  <si>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</si>
  <si>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</si>
  <si>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</si>
  <si>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</si>
  <si>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</si>
  <si>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</si>
  <si>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</si>
  <si>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</si>
  <si>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</si>
  <si>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</si>
  <si>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</si>
  <si>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</si>
  <si>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</si>
  <si>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</si>
  <si>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</si>
  <si>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</si>
  <si>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</si>
  <si>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</si>
  <si>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</si>
  <si>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</si>
  <si>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</si>
  <si>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</si>
  <si>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</si>
  <si>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</si>
  <si>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</si>
  <si>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</si>
  <si>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</si>
  <si>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</si>
  <si>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</si>
  <si>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</si>
  <si>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</si>
  <si>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</si>
  <si>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</si>
  <si>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</si>
  <si>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</si>
  <si>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</si>
  <si>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</si>
  <si>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</si>
  <si>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</si>
  <si>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</si>
  <si>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</si>
  <si>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</si>
  <si>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</si>
  <si>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</si>
  <si>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</si>
  <si>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</si>
  <si>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</si>
  <si>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</si>
  <si>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</si>
  <si>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</si>
  <si>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</si>
  <si>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</si>
  <si>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</si>
  <si>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</si>
  <si>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</si>
  <si>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</si>
  <si>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</si>
  <si>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</si>
  <si>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</si>
  <si>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</si>
  <si>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</si>
  <si>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</si>
  <si>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</si>
  <si>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</si>
  <si>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</si>
  <si>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</si>
  <si>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</si>
  <si>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</si>
  <si>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</si>
  <si>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</si>
  <si>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</si>
  <si>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</si>
  <si>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</si>
  <si>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</si>
  <si>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</si>
  <si>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</si>
  <si>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</si>
  <si>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</si>
  <si>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</si>
  <si>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</si>
  <si>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</si>
  <si>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</si>
  <si>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</si>
  <si>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</si>
  <si>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</si>
  <si>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</si>
  <si>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</si>
  <si>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</si>
  <si>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</si>
  <si>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</si>
  <si>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</si>
  <si>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</si>
  <si>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</si>
  <si>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</si>
  <si>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</si>
  <si>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</si>
  <si>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</si>
  <si>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</si>
  <si>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</si>
  <si>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</si>
  <si>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</si>
  <si>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</si>
  <si>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</si>
  <si>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</si>
  <si>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</si>
  <si>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</si>
  <si>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</si>
  <si>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</si>
  <si>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</si>
  <si>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</si>
  <si>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</si>
  <si>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</si>
  <si>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</si>
  <si>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</si>
  <si>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</si>
  <si>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</si>
  <si>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</si>
  <si>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</si>
  <si>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</si>
  <si>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</si>
  <si>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</si>
  <si>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</si>
  <si>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</si>
  <si>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</si>
  <si>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</si>
  <si>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</si>
  <si>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</si>
  <si>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</si>
  <si>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</si>
  <si>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</si>
  <si>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</si>
  <si>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</si>
  <si>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</si>
  <si>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</si>
  <si>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</si>
  <si>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</si>
  <si>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</si>
  <si>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</si>
  <si>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</si>
  <si>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</si>
  <si>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</si>
  <si>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</si>
  <si>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</si>
  <si>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</si>
  <si>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</si>
  <si>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</si>
  <si>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</si>
  <si>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</si>
  <si>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</si>
  <si>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</si>
  <si>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</si>
  <si>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</si>
  <si>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</si>
  <si>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</si>
  <si>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</si>
  <si>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</si>
  <si>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</si>
  <si>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</si>
  <si>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</si>
  <si>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</si>
  <si>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</si>
  <si>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</si>
  <si>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</si>
  <si>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</si>
  <si>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</si>
  <si>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</si>
  <si>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</si>
  <si>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</si>
  <si>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</si>
  <si>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</si>
  <si>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</si>
  <si>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</si>
  <si>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</si>
  <si>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</si>
  <si>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</si>
  <si>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</si>
  <si>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</si>
  <si>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</si>
  <si>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</si>
  <si>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</si>
  <si>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</si>
  <si>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</si>
  <si>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</si>
  <si>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</si>
  <si>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</si>
  <si>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</si>
  <si>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</si>
  <si>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</si>
  <si>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</si>
  <si>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</si>
  <si>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</si>
  <si>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</si>
  <si>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</si>
  <si>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</si>
  <si>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</si>
  <si>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</si>
  <si>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</si>
  <si>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</si>
  <si>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</si>
  <si>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</si>
  <si>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</si>
  <si>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</si>
  <si>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</si>
  <si>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</si>
  <si>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</si>
  <si>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</si>
  <si>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</si>
  <si>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</si>
  <si>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</si>
  <si>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</si>
  <si>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</si>
  <si>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</si>
  <si>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</si>
  <si>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</si>
  <si>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</si>
  <si>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</si>
  <si>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</si>
  <si>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</si>
  <si>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</si>
  <si>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</si>
  <si>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</si>
  <si>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</si>
  <si>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</si>
  <si>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</si>
  <si>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</si>
  <si>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</si>
  <si>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</si>
  <si>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</si>
  <si>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</si>
  <si>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</si>
  <si>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</si>
  <si>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</si>
  <si>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</si>
  <si>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</si>
  <si>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</si>
  <si>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</si>
  <si>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</si>
  <si>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</si>
  <si>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</si>
  <si>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</si>
  <si>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</si>
  <si>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</si>
  <si>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</si>
  <si>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</si>
  <si>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</si>
  <si>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</si>
  <si>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</si>
  <si>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</si>
  <si>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</si>
  <si>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</si>
  <si>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</si>
  <si>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</si>
  <si>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</si>
  <si>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</si>
  <si>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</si>
  <si>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</si>
  <si>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</si>
  <si>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</si>
  <si>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</si>
  <si>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</si>
  <si>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</si>
  <si>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</si>
  <si>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</si>
  <si>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</si>
  <si>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</si>
  <si>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</si>
  <si>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</si>
  <si>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</si>
  <si>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</si>
  <si>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</si>
  <si>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</si>
  <si>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</si>
  <si>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</si>
  <si>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</si>
  <si>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</si>
  <si>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</si>
  <si>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</si>
  <si>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</si>
  <si>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</si>
  <si>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</si>
  <si>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</si>
  <si>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</si>
  <si>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</si>
  <si>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</si>
  <si>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</si>
  <si>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</si>
  <si>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</si>
  <si>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</si>
  <si>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</si>
  <si>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</si>
  <si>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</si>
  <si>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</si>
  <si>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</si>
  <si>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</si>
  <si>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</si>
  <si>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</si>
  <si>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</si>
  <si>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</si>
  <si>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</si>
  <si>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</si>
  <si>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</si>
  <si>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</si>
  <si>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</si>
  <si>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</si>
  <si>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</si>
  <si>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</si>
  <si>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</si>
  <si>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</si>
  <si>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</si>
  <si>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</si>
  <si>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</si>
  <si>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</si>
  <si>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</si>
  <si>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</si>
  <si>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</si>
  <si>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</si>
  <si>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</si>
  <si>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</si>
  <si>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</si>
  <si>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</si>
  <si>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</si>
  <si>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</si>
  <si>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</si>
  <si>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</si>
  <si>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</si>
  <si>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</si>
  <si>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</si>
  <si>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</si>
  <si>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</si>
  <si>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</si>
  <si>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</si>
  <si>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</si>
  <si>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</si>
  <si>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</si>
  <si>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</si>
  <si>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</si>
  <si>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</si>
  <si>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</si>
  <si>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</si>
  <si>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</si>
  <si>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</si>
  <si>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</si>
  <si>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</si>
  <si>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</si>
  <si>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</si>
  <si>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</si>
  <si>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</si>
  <si>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</si>
  <si>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</si>
  <si>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</si>
  <si>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</si>
  <si>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</si>
  <si>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</si>
  <si>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</si>
  <si>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</si>
  <si>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</si>
  <si>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</si>
  <si>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</si>
  <si>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</si>
  <si>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</si>
  <si>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</si>
  <si>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</si>
  <si>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</si>
  <si>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</si>
  <si>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</si>
  <si>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</si>
  <si>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</si>
  <si>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</si>
  <si>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</si>
  <si>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</si>
  <si>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</si>
  <si>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</si>
  <si>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</si>
  <si>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</si>
  <si>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</si>
  <si>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</si>
  <si>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</si>
  <si>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</si>
  <si>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</si>
  <si>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</si>
  <si>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</si>
  <si>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</si>
  <si>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</si>
  <si>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</si>
  <si>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</si>
  <si>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</si>
  <si>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</si>
  <si>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</si>
  <si>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</si>
  <si>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</si>
  <si>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</si>
  <si>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</si>
  <si>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</si>
  <si>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</si>
  <si>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</si>
  <si>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</si>
  <si>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</si>
  <si>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</si>
  <si>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</si>
  <si>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</si>
  <si>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</si>
  <si>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</si>
  <si>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</si>
  <si>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</si>
  <si>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</si>
  <si>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</si>
  <si>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</si>
  <si>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</si>
  <si>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</si>
  <si>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</si>
  <si>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</si>
  <si>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</si>
  <si>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</si>
  <si>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</si>
  <si>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</si>
  <si>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</si>
  <si>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</si>
  <si>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</si>
  <si>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</si>
  <si>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</si>
  <si>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</si>
  <si>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</si>
  <si>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</si>
  <si>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</si>
  <si>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</si>
  <si>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</si>
  <si>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</si>
  <si>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</si>
  <si>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</si>
  <si>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</si>
  <si>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</si>
  <si>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</si>
  <si>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</si>
  <si>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</si>
  <si>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</si>
  <si>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</si>
  <si>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</si>
  <si>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</si>
  <si>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</si>
  <si>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</si>
  <si>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</si>
  <si>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</si>
  <si>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</si>
  <si>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</si>
  <si>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</si>
  <si>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</si>
  <si>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</si>
  <si>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</si>
  <si>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</si>
  <si>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</si>
  <si>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</si>
  <si>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</si>
  <si>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</si>
  <si>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</si>
  <si>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</si>
  <si>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</si>
  <si>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</si>
  <si>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</si>
  <si>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</si>
  <si>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</si>
  <si>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</si>
  <si>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</si>
  <si>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</si>
  <si>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</si>
  <si>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</si>
  <si>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</si>
  <si>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</si>
  <si>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</si>
  <si>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</si>
  <si>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</si>
  <si>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</si>
  <si>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</si>
  <si>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</si>
  <si>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</si>
  <si>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</si>
  <si>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</si>
  <si>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</si>
  <si>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</si>
  <si>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</si>
  <si>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</si>
  <si>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</si>
  <si>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</si>
  <si>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</si>
  <si>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</si>
  <si>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</si>
  <si>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</si>
  <si>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</si>
  <si>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</si>
  <si>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</si>
  <si>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</si>
  <si>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</si>
  <si>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</si>
  <si>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</si>
  <si>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</si>
  <si>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</si>
  <si>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</si>
  <si>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</si>
  <si>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</si>
  <si>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</si>
  <si>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</si>
  <si>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</si>
  <si>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</si>
  <si>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</si>
  <si>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</si>
  <si>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</si>
  <si>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</si>
  <si>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</si>
  <si>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</si>
  <si>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</si>
  <si>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</si>
  <si>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</si>
  <si>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</si>
  <si>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</si>
  <si>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</si>
  <si>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</si>
  <si>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</si>
  <si>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</si>
  <si>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</si>
  <si>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</si>
  <si>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</si>
  <si>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</si>
  <si>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</si>
  <si>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</si>
  <si>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</si>
  <si>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</si>
  <si>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</si>
  <si>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</si>
  <si>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</si>
  <si>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</si>
  <si>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</si>
  <si>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</si>
  <si>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</si>
  <si>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</si>
  <si>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</si>
  <si>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</si>
  <si>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</si>
  <si>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</si>
  <si>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</si>
  <si>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</si>
  <si>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</si>
  <si>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</si>
  <si>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</si>
  <si>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</si>
  <si>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</si>
  <si>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</si>
  <si>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</si>
  <si>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</si>
  <si>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</si>
  <si>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</si>
  <si>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</si>
  <si>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</si>
  <si>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</si>
  <si>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</si>
  <si>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</si>
  <si>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</si>
  <si>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</si>
  <si>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</si>
  <si>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</si>
  <si>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</si>
  <si>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</si>
  <si>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</si>
  <si>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</si>
  <si>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</si>
  <si>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</si>
  <si>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</si>
  <si>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</si>
  <si>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</si>
  <si>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</si>
  <si>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</si>
  <si>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</si>
  <si>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</si>
  <si>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</si>
  <si>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</si>
  <si>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</si>
  <si>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</si>
  <si>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</si>
  <si>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</si>
  <si>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</si>
  <si>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</si>
  <si>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</si>
  <si>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</si>
  <si>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</si>
  <si>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</si>
  <si>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</si>
  <si>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</si>
  <si>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</si>
  <si>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</si>
  <si>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</si>
  <si>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</si>
  <si>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</si>
  <si>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</si>
  <si>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</si>
  <si>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</si>
  <si>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</si>
  <si>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</si>
  <si>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</si>
  <si>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</si>
  <si>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</si>
  <si>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</si>
  <si>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</si>
  <si>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</si>
  <si>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</si>
  <si>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</si>
  <si>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</si>
  <si>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</si>
  <si>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</si>
  <si>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</si>
  <si>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</si>
  <si>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</si>
  <si>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</si>
  <si>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</si>
  <si>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</si>
  <si>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</si>
  <si>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</si>
  <si>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</si>
  <si>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</si>
  <si>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</si>
  <si>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</si>
  <si>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</si>
  <si>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</si>
  <si>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</si>
  <si>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</si>
  <si>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</si>
  <si>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</si>
  <si>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</si>
  <si>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</si>
  <si>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</si>
  <si>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</si>
  <si>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</si>
  <si>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</si>
  <si>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</si>
  <si>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</si>
  <si>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</si>
  <si>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</si>
  <si>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</si>
  <si>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</si>
  <si>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</si>
  <si>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</si>
  <si>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</si>
  <si>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</si>
  <si>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</si>
  <si>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</si>
  <si>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</si>
  <si>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</si>
  <si>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</si>
  <si>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</si>
  <si>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</si>
  <si>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</si>
  <si>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</si>
  <si>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</si>
  <si>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</si>
  <si>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</si>
  <si>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</si>
  <si>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</si>
  <si>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</si>
  <si>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</si>
  <si>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</si>
  <si>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</si>
  <si>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</si>
  <si>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</si>
  <si>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</si>
  <si>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</si>
  <si>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</si>
  <si>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</si>
  <si>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</si>
  <si>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</si>
  <si>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</si>
  <si>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</si>
  <si>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</si>
  <si>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</si>
  <si>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</si>
  <si>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</si>
  <si>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</si>
  <si>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</si>
  <si>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</si>
  <si>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</si>
  <si>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</si>
  <si>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</si>
  <si>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</si>
  <si>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</si>
  <si>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</si>
  <si>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</si>
  <si>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</si>
  <si>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</si>
  <si>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</si>
  <si>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</si>
  <si>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</si>
  <si>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</si>
  <si>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</si>
  <si>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</si>
  <si>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</si>
  <si>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</si>
  <si>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</si>
  <si>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</si>
  <si>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</si>
  <si>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</si>
  <si>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</si>
  <si>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</si>
  <si>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</si>
  <si>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</si>
  <si>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</si>
  <si>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</si>
  <si>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</si>
  <si>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</si>
  <si>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</si>
  <si>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</si>
  <si>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</si>
  <si>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</si>
  <si>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</si>
  <si>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</si>
  <si>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</si>
  <si>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</si>
  <si>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</si>
  <si>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</si>
  <si>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</si>
  <si>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</si>
  <si>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</si>
  <si>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</si>
  <si>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</si>
  <si>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</si>
  <si>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</si>
  <si>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</si>
  <si>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</si>
  <si>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</si>
  <si>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</si>
  <si>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</si>
  <si>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</si>
  <si>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</si>
  <si>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</si>
  <si>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</si>
  <si>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</si>
  <si>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</si>
  <si>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</si>
  <si>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</si>
  <si>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</si>
  <si>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</si>
  <si>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</si>
  <si>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</si>
  <si>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</si>
  <si>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</si>
  <si>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</si>
  <si>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</si>
  <si>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</si>
  <si>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</si>
  <si>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</si>
  <si>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</si>
  <si>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</si>
  <si>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</si>
  <si>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</si>
  <si>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</si>
  <si>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</si>
  <si>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</si>
  <si>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</si>
  <si>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</si>
  <si>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</si>
  <si>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</si>
  <si>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</si>
  <si>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</si>
  <si>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</si>
  <si>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</si>
  <si>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</si>
  <si>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</si>
  <si>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</si>
  <si>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</si>
  <si>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</si>
  <si>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</si>
  <si>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</si>
  <si>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</si>
  <si>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</si>
  <si>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</si>
  <si>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</si>
  <si>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</si>
  <si>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</si>
  <si>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</si>
  <si>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</si>
  <si>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</si>
  <si>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</si>
  <si>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</si>
  <si>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</si>
  <si>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</si>
  <si>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</si>
  <si>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</si>
  <si>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</si>
  <si>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</si>
  <si>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</si>
  <si>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</si>
  <si>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</si>
  <si>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</si>
  <si>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</si>
  <si>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</si>
  <si>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</si>
  <si>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</si>
  <si>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</si>
  <si>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</si>
  <si>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</si>
  <si>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</si>
  <si>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</si>
  <si>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</si>
  <si>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</si>
  <si>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</si>
  <si>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</si>
  <si>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</si>
  <si>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</si>
  <si>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</si>
  <si>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</si>
  <si>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</si>
  <si>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</si>
  <si>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</si>
  <si>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</si>
  <si>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</si>
  <si>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</si>
  <si>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</si>
  <si>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</si>
  <si>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</si>
  <si>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</si>
  <si>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</si>
  <si>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</si>
  <si>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</si>
  <si>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</si>
  <si>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</si>
  <si>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</si>
  <si>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</si>
  <si>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</si>
  <si>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</si>
  <si>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</si>
  <si>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</si>
  <si>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</si>
  <si>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</si>
  <si>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</si>
  <si>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</si>
  <si>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</si>
  <si>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</si>
  <si>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</si>
  <si>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</si>
  <si>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</si>
  <si>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</si>
  <si>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</si>
  <si>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</si>
  <si>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</si>
  <si>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</si>
  <si>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</si>
  <si>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</si>
  <si>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</si>
  <si>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</si>
  <si>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</si>
  <si>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</si>
  <si>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</si>
  <si>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</si>
  <si>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</si>
  <si>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</si>
  <si>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</si>
  <si>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</si>
  <si>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</si>
  <si>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</si>
  <si>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</si>
  <si>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</si>
  <si>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</si>
  <si>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</si>
  <si>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</si>
  <si>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</si>
  <si>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</si>
  <si>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</si>
  <si>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</si>
  <si>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</si>
  <si>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</si>
  <si>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</si>
  <si>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</si>
  <si>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</si>
  <si>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</si>
  <si>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</si>
  <si>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</si>
  <si>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</si>
  <si>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</si>
  <si>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</si>
  <si>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</si>
  <si>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</si>
  <si>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</si>
  <si>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</si>
  <si>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</si>
  <si>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</si>
  <si>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</si>
  <si>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</si>
  <si>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</si>
  <si>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</si>
  <si>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</si>
  <si>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</si>
  <si>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</si>
  <si>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</si>
  <si>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</si>
  <si>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</si>
  <si>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</si>
  <si>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</si>
  <si>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</si>
  <si>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</si>
  <si>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</si>
  <si>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</si>
  <si>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</si>
  <si>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</si>
  <si>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</si>
  <si>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</si>
  <si>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</si>
  <si>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</si>
  <si>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</si>
  <si>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</si>
  <si>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</si>
  <si>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</si>
  <si>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</si>
  <si>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</si>
  <si>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</si>
  <si>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</si>
  <si>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</si>
  <si>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</si>
  <si>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</si>
  <si>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</si>
  <si>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</si>
  <si>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</si>
  <si>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</si>
  <si>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</si>
  <si>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</si>
  <si>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</si>
  <si>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</si>
  <si>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</si>
  <si>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</si>
  <si>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</si>
  <si>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</si>
  <si>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</si>
  <si>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</si>
  <si>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</si>
  <si>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</si>
  <si>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</si>
  <si>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</si>
  <si>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</si>
  <si>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</si>
  <si>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</si>
  <si>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</si>
  <si>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</si>
  <si>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</si>
  <si>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</si>
  <si>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</si>
  <si>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</si>
  <si>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</si>
  <si>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</si>
  <si>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</si>
  <si>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</si>
  <si>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</si>
  <si>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</si>
  <si>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</si>
  <si>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</si>
  <si>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</si>
  <si>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</si>
  <si>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</si>
  <si>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</si>
  <si>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</si>
  <si>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</si>
  <si>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</si>
  <si>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</si>
  <si>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</si>
  <si>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</si>
  <si>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</si>
  <si>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</si>
  <si>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</si>
  <si>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</si>
  <si>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</si>
  <si>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</si>
  <si>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</si>
  <si>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</si>
  <si>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</si>
  <si>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</si>
  <si>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</si>
  <si>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</si>
  <si>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</si>
  <si>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</si>
  <si>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</si>
  <si>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</si>
  <si>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</si>
  <si>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</si>
  <si>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</si>
  <si>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</si>
  <si>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</si>
  <si>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</si>
  <si>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</si>
  <si>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</si>
  <si>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</si>
  <si>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</si>
  <si>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</si>
  <si>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</si>
  <si>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</si>
  <si>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</si>
  <si>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</si>
  <si>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</si>
  <si>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</si>
  <si>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</si>
  <si>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</si>
  <si>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</si>
  <si>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</si>
  <si>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</si>
  <si>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</si>
  <si>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</si>
  <si>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</si>
  <si>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</si>
  <si>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</si>
  <si>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</si>
  <si>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</si>
  <si>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</si>
  <si>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</si>
  <si>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</si>
  <si>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</si>
  <si>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</si>
  <si>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</si>
  <si>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</si>
  <si>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</si>
  <si>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</si>
  <si>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</si>
  <si>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</si>
  <si>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</si>
  <si>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</si>
  <si>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</si>
  <si>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</si>
  <si>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</si>
  <si>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</si>
  <si>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</si>
  <si>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</si>
  <si>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</si>
  <si>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</si>
  <si>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</si>
  <si>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</si>
  <si>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</si>
  <si>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</si>
  <si>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</si>
  <si>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</si>
  <si>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</si>
  <si>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</si>
  <si>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</si>
  <si>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</si>
  <si>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</si>
  <si>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</si>
  <si>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</si>
  <si>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</si>
  <si>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</si>
  <si>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</si>
  <si>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</si>
  <si>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</si>
  <si>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</si>
  <si>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</si>
  <si>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</si>
  <si>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</si>
  <si>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</si>
  <si>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</si>
  <si>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</si>
  <si>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</si>
  <si>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</si>
  <si>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</si>
  <si>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</si>
  <si>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</si>
  <si>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</si>
  <si>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</si>
  <si>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</si>
  <si>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</si>
  <si>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</si>
  <si>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</si>
  <si>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</si>
  <si>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</si>
  <si>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</si>
  <si>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</si>
  <si>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</si>
  <si>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</si>
  <si>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</si>
  <si>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</si>
  <si>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</si>
  <si>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</si>
  <si>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</si>
  <si>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</si>
  <si>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</si>
  <si>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</si>
  <si>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</si>
  <si>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</si>
  <si>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</si>
  <si>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</si>
  <si>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</si>
  <si>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</si>
  <si>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</si>
  <si>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</si>
  <si>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</si>
  <si>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</si>
  <si>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</si>
  <si>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</si>
  <si>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</si>
  <si>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</si>
  <si>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</si>
  <si>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</si>
  <si>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</si>
  <si>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</si>
  <si>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</si>
  <si>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</si>
  <si>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</si>
  <si>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</si>
  <si>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</si>
  <si>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</si>
  <si>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</si>
  <si>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</si>
  <si>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</si>
  <si>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</si>
  <si>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</si>
  <si>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</si>
  <si>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</si>
  <si>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</si>
  <si>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</si>
  <si>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</si>
  <si>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</si>
  <si>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</si>
  <si>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</si>
  <si>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</si>
  <si>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</si>
  <si>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</si>
  <si>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</si>
  <si>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</si>
  <si>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</si>
  <si>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</si>
  <si>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</si>
  <si>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</si>
  <si>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</si>
  <si>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</si>
  <si>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</si>
  <si>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</si>
  <si>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</si>
  <si>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</si>
  <si>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</si>
  <si>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</si>
  <si>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</si>
  <si>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</si>
  <si>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</si>
  <si>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</si>
  <si>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</si>
  <si>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</si>
  <si>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</si>
  <si>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</si>
  <si>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</si>
  <si>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</si>
  <si>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</si>
  <si>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</si>
  <si>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</si>
  <si>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</si>
  <si>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</si>
  <si>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</si>
  <si>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</si>
  <si>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</si>
  <si>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</si>
  <si>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</si>
  <si>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</si>
  <si>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</si>
  <si>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</si>
  <si>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</si>
  <si>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</si>
  <si>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</si>
  <si>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</si>
  <si>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</si>
  <si>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</si>
  <si>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</si>
  <si>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</si>
  <si>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</si>
  <si>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</si>
  <si>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</si>
  <si>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</si>
  <si>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</si>
  <si>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</si>
  <si>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</si>
  <si>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</si>
  <si>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</si>
  <si>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</si>
  <si>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</si>
  <si>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</si>
  <si>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</si>
  <si>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</si>
  <si>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</si>
  <si>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</si>
  <si>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</si>
  <si>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</si>
  <si>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</si>
  <si>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</si>
  <si>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</si>
  <si>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</si>
  <si>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</si>
  <si>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</si>
  <si>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</si>
  <si>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</si>
  <si>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</si>
  <si>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</si>
  <si>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</si>
  <si>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</si>
  <si>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</si>
  <si>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</si>
  <si>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</si>
  <si>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</si>
  <si>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</si>
  <si>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</si>
  <si>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</si>
  <si>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</si>
  <si>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</si>
  <si>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</si>
  <si>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</si>
  <si>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</si>
  <si>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</si>
  <si>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</si>
  <si>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</si>
  <si>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</si>
  <si>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</si>
  <si>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</si>
  <si>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</si>
  <si>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</si>
  <si>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</si>
  <si>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</si>
  <si>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</si>
  <si>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</si>
  <si>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</si>
  <si>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</si>
  <si>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</si>
  <si>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</si>
  <si>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</si>
  <si>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</si>
  <si>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</si>
  <si>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</si>
  <si>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</si>
  <si>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</si>
  <si>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</si>
  <si>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</si>
  <si>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</si>
  <si>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</si>
  <si>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</si>
  <si>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</si>
  <si>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</si>
  <si>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</si>
  <si>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</si>
  <si>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</si>
  <si>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</si>
  <si>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</si>
  <si>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</si>
  <si>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</si>
  <si>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</si>
  <si>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</si>
  <si>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</si>
  <si>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</si>
  <si>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</si>
  <si>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</si>
  <si>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</si>
  <si>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</si>
  <si>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</si>
  <si>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</si>
  <si>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</si>
  <si>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</si>
  <si>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</si>
  <si>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</si>
  <si>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</si>
  <si>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</si>
  <si>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</si>
  <si>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</si>
  <si>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</si>
  <si>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</si>
  <si>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</si>
  <si>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</si>
  <si>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</si>
  <si>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</si>
  <si>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</si>
  <si>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</si>
  <si>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</si>
  <si>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</si>
  <si>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</si>
  <si>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</si>
  <si>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</si>
  <si>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</si>
  <si>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</si>
  <si>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</si>
  <si>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</si>
  <si>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</si>
  <si>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</si>
  <si>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</si>
  <si>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</si>
  <si>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</si>
  <si>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</si>
  <si>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</si>
  <si>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</si>
  <si>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</si>
  <si>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</si>
  <si>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</si>
  <si>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</si>
  <si>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</si>
  <si>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</si>
  <si>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</si>
  <si>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</si>
  <si>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</si>
  <si>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</si>
  <si>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</si>
  <si>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</si>
  <si>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</si>
  <si>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</si>
  <si>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</si>
  <si>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</si>
  <si>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</si>
  <si>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</si>
  <si>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</si>
  <si>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</si>
  <si>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</si>
  <si>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</si>
  <si>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</si>
  <si>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</si>
  <si>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</si>
  <si>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</si>
  <si>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</si>
  <si>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</si>
  <si>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</si>
  <si>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</si>
  <si>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</si>
  <si>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</si>
  <si>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</si>
  <si>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</si>
  <si>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</si>
  <si>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</si>
  <si>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</si>
  <si>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</si>
  <si>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</si>
  <si>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</si>
  <si>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</si>
  <si>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</si>
  <si>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</si>
  <si>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</si>
  <si>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</si>
  <si>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</si>
  <si>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</si>
  <si>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</si>
  <si>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</si>
  <si>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</si>
  <si>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</si>
  <si>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</si>
  <si>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</si>
  <si>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</si>
  <si>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</si>
  <si>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</si>
  <si>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</si>
  <si>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</si>
  <si>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</si>
  <si>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</si>
  <si>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</si>
  <si>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</si>
  <si>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</si>
  <si>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</si>
  <si>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</si>
  <si>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</si>
  <si>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</si>
  <si>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</si>
  <si>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</si>
  <si>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</si>
  <si>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</si>
  <si>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</si>
  <si>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</si>
  <si>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</si>
  <si>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</si>
  <si>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</si>
  <si>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</si>
  <si>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</si>
  <si>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</si>
  <si>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</si>
  <si>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</si>
  <si>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</si>
  <si>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</si>
  <si>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</si>
  <si>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</si>
  <si>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</si>
  <si>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</si>
  <si>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</si>
  <si>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</si>
  <si>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</si>
  <si>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</si>
  <si>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</si>
  <si>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</si>
  <si>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</si>
  <si>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</si>
  <si>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</si>
  <si>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</si>
  <si>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</si>
  <si>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</si>
  <si>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</si>
  <si>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</si>
  <si>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</si>
  <si>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</si>
  <si>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</si>
  <si>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</si>
  <si>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</si>
  <si>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</si>
  <si>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</si>
  <si>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</si>
  <si>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</si>
  <si>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</si>
  <si>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</si>
  <si>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</si>
  <si>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</si>
  <si>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</si>
  <si>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</si>
  <si>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</si>
  <si>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</si>
  <si>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</si>
  <si>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</si>
  <si>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</si>
  <si>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</si>
  <si>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</si>
  <si>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</si>
  <si>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</si>
  <si>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</si>
  <si>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</si>
  <si>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</si>
  <si>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</si>
  <si>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</si>
  <si>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</si>
  <si>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</si>
  <si>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</si>
  <si>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</si>
  <si>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</si>
  <si>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</si>
  <si>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</si>
  <si>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</si>
  <si>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</si>
  <si>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</si>
  <si>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</si>
  <si>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</si>
  <si>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</si>
  <si>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</si>
  <si>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</si>
  <si>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</si>
  <si>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</si>
  <si>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</si>
  <si>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</si>
  <si>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</si>
  <si>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</si>
  <si>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</si>
  <si>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</si>
  <si>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</si>
  <si>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</si>
  <si>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</si>
  <si>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</si>
  <si>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</si>
  <si>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</si>
  <si>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</si>
  <si>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</si>
  <si>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</si>
  <si>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</si>
  <si>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</si>
  <si>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</si>
  <si>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</si>
  <si>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</si>
  <si>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</si>
  <si>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</si>
  <si>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</si>
  <si>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</si>
  <si>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</si>
  <si>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</si>
  <si>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</si>
  <si>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</si>
  <si>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</si>
  <si>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</si>
  <si>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</si>
  <si>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</si>
  <si>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</si>
  <si>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</si>
  <si>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</si>
  <si>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</si>
  <si>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</si>
  <si>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</si>
  <si>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</si>
  <si>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</si>
  <si>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</si>
  <si>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</si>
  <si>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</si>
  <si>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</si>
  <si>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</si>
  <si>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</si>
  <si>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</si>
  <si>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</si>
  <si>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</si>
  <si>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</si>
  <si>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</si>
  <si>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</si>
  <si>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</si>
  <si>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</si>
  <si>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</si>
  <si>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</si>
  <si>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</si>
  <si>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</si>
  <si>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</si>
  <si>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</si>
  <si>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</si>
  <si>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</si>
  <si>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</si>
  <si>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</si>
  <si>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</si>
  <si>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</si>
  <si>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</si>
  <si>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</si>
  <si>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</si>
  <si>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</si>
  <si>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</si>
  <si>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</si>
  <si>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</si>
  <si>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</si>
  <si>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</si>
  <si>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</si>
  <si>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</si>
  <si>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</si>
  <si>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</si>
  <si>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</si>
  <si>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</si>
  <si>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</si>
  <si>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</si>
  <si>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</si>
  <si>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</si>
  <si>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</si>
  <si>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</si>
  <si>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</si>
  <si>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</si>
  <si>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</si>
  <si>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</si>
  <si>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</si>
  <si>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</si>
  <si>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</si>
  <si>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</si>
  <si>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</si>
  <si>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</si>
  <si>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</si>
  <si>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</si>
  <si>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</si>
  <si>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</si>
  <si>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</si>
  <si>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</si>
  <si>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</si>
  <si>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</si>
  <si>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</si>
  <si>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</si>
  <si>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</si>
  <si>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</si>
  <si>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</si>
  <si>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</si>
  <si>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</si>
  <si>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</si>
  <si>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</si>
  <si>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</si>
  <si>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</si>
  <si>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</si>
  <si>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</si>
  <si>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</si>
  <si>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</si>
  <si>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</si>
  <si>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</si>
  <si>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</si>
  <si>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</si>
  <si>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</si>
  <si>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</si>
  <si>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</si>
  <si>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</si>
  <si>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</si>
  <si>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</si>
  <si>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</si>
  <si>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</si>
  <si>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</si>
  <si>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</si>
  <si>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</si>
  <si>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</si>
  <si>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</si>
  <si>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</si>
  <si>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</si>
  <si>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</si>
  <si>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</si>
  <si>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</si>
  <si>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</si>
  <si>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</si>
  <si>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</si>
  <si>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</si>
  <si>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</si>
  <si>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</si>
  <si>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</si>
  <si>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</si>
  <si>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</si>
  <si>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</si>
  <si>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</si>
  <si>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</si>
  <si>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</si>
  <si>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</si>
  <si>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</si>
  <si>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</si>
  <si>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</si>
  <si>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</si>
  <si>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</si>
  <si>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</si>
  <si>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</si>
  <si>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</si>
  <si>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</si>
  <si>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</si>
  <si>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</si>
  <si>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</si>
  <si>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</si>
  <si>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</si>
  <si>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</si>
  <si>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</si>
  <si>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</si>
  <si>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</si>
  <si>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</si>
  <si>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</si>
  <si>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</si>
  <si>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</si>
  <si>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</si>
  <si>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</si>
  <si>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</si>
  <si>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</si>
  <si>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</si>
  <si>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</si>
  <si>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</si>
  <si>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</si>
  <si>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</si>
  <si>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</si>
  <si>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</si>
  <si>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</si>
  <si>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</si>
  <si>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</si>
  <si>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</si>
  <si>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</si>
  <si>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</si>
  <si>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</si>
  <si>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</si>
  <si>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</si>
  <si>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</si>
  <si>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</si>
  <si>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</si>
  <si>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</si>
  <si>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</si>
  <si>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</si>
  <si>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</si>
  <si>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</si>
  <si>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</si>
  <si>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</si>
  <si>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</si>
  <si>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</si>
  <si>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</si>
  <si>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</si>
  <si>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</si>
  <si>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</si>
  <si>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</si>
  <si>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</si>
  <si>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</si>
  <si>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</si>
  <si>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</si>
  <si>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</si>
  <si>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</si>
  <si>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</si>
  <si>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</si>
  <si>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</si>
  <si>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</si>
  <si>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</si>
  <si>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</si>
  <si>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</si>
  <si>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</si>
  <si>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</si>
  <si>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</si>
  <si>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</si>
  <si>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</si>
  <si>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</si>
  <si>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</si>
  <si>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</si>
  <si>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</si>
  <si>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</si>
  <si>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</si>
  <si>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</si>
  <si>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</si>
  <si>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</si>
  <si>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</si>
  <si>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</si>
  <si>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</si>
  <si>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</si>
  <si>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</si>
  <si>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</si>
  <si>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</si>
  <si>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</si>
  <si>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</si>
  <si>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</si>
  <si>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</si>
  <si>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</si>
  <si>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</si>
  <si>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</si>
  <si>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</si>
  <si>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</si>
  <si>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</si>
  <si>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</si>
  <si>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</si>
  <si>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</si>
  <si>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</si>
  <si>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</si>
  <si>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</si>
  <si>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</si>
  <si>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</si>
  <si>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</si>
  <si>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</si>
  <si>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</si>
  <si>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</si>
  <si>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</si>
  <si>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</si>
  <si>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</si>
  <si>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</si>
  <si>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</si>
  <si>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</si>
  <si>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</si>
  <si>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</si>
  <si>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</si>
  <si>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</si>
  <si>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</si>
  <si>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</si>
  <si>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</si>
  <si>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</si>
  <si>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</si>
  <si>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</si>
  <si>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</si>
  <si>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</si>
  <si>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</si>
  <si>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</si>
  <si>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</si>
  <si>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</si>
  <si>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</si>
  <si>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</si>
  <si>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</si>
  <si>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</si>
  <si>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</si>
  <si>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</si>
  <si>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</si>
  <si>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</si>
  <si>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</si>
  <si>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</si>
  <si>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</si>
  <si>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</si>
  <si>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</si>
  <si>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</si>
  <si>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</si>
  <si>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</si>
  <si>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</si>
  <si>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</si>
  <si>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</si>
  <si>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</si>
  <si>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</si>
  <si>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</si>
  <si>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</si>
  <si>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</si>
  <si>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</si>
  <si>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</si>
  <si>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</si>
  <si>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</si>
  <si>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</si>
  <si>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</si>
  <si>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</si>
  <si>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</si>
  <si>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</si>
  <si>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</si>
  <si>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</si>
  <si>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</si>
  <si>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</si>
  <si>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</si>
  <si>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</si>
  <si>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</si>
  <si>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</si>
  <si>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</si>
  <si>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</si>
  <si>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</si>
  <si>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</si>
  <si>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</si>
  <si>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</si>
  <si>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</si>
  <si>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</si>
  <si>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</si>
  <si>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</si>
  <si>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</si>
  <si>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</si>
  <si>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</si>
  <si>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</si>
  <si>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</si>
  <si>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</si>
  <si>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</si>
  <si>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</si>
  <si>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</si>
  <si>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</si>
  <si>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</si>
  <si>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</si>
  <si>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</si>
  <si>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</si>
  <si>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</si>
  <si>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</si>
  <si>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</si>
  <si>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</si>
  <si>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</si>
  <si>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</si>
  <si>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</si>
  <si>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</si>
  <si>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</si>
  <si>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</si>
  <si>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</si>
  <si>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</si>
  <si>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</si>
  <si>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</si>
  <si>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</si>
  <si>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</si>
  <si>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</si>
  <si>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</si>
  <si>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</si>
  <si>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</si>
  <si>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</si>
  <si>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</si>
  <si>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</si>
  <si>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</si>
  <si>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</si>
  <si>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</si>
  <si>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</si>
  <si>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</si>
  <si>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</si>
  <si>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</si>
  <si>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</si>
  <si>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</si>
  <si>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</si>
  <si>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</si>
  <si>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</si>
  <si>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</si>
  <si>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</si>
  <si>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</si>
  <si>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</si>
  <si>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</si>
  <si>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</si>
  <si>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</si>
  <si>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</si>
  <si>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</si>
  <si>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</si>
  <si>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</si>
  <si>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</si>
  <si>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</si>
  <si>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</si>
  <si>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</si>
  <si>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</si>
  <si>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</si>
  <si>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</si>
  <si>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</si>
  <si>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</si>
  <si>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</si>
  <si>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</si>
  <si>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</si>
  <si>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</si>
  <si>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</si>
  <si>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</si>
  <si>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</si>
  <si>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</si>
  <si>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</si>
  <si>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</si>
  <si>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</si>
  <si>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</si>
  <si>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</si>
  <si>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</si>
  <si>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</si>
  <si>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</si>
  <si>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</si>
  <si>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</si>
  <si>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</si>
  <si>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</si>
  <si>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</si>
  <si>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</si>
  <si>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</si>
  <si>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</si>
  <si>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</si>
  <si>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</si>
  <si>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</si>
  <si>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</si>
  <si>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</si>
  <si>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</si>
  <si>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</si>
  <si>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</si>
  <si>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</si>
  <si>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</si>
  <si>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</si>
  <si>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</si>
  <si>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</si>
  <si>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</si>
  <si>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</si>
  <si>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</si>
  <si>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</si>
  <si>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</si>
  <si>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</si>
  <si>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</si>
  <si>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</si>
  <si>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</si>
  <si>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</si>
  <si>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</si>
  <si>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</si>
  <si>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</si>
  <si>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</si>
  <si>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</si>
  <si>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</si>
  <si>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</si>
  <si>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</si>
  <si>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</si>
  <si>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</si>
  <si>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</si>
  <si>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</si>
  <si>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</si>
  <si>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</si>
  <si>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</si>
  <si>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</si>
  <si>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</si>
  <si>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</si>
  <si>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</si>
  <si>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</si>
  <si>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</si>
  <si>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</si>
  <si>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</si>
  <si>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</si>
  <si>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</si>
  <si>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</si>
  <si>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</si>
  <si>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</si>
  <si>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</si>
  <si>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</si>
  <si>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</si>
  <si>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</si>
  <si>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</si>
  <si>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</si>
  <si>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</si>
  <si>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</si>
  <si>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</si>
  <si>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</si>
  <si>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</si>
  <si>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</si>
  <si>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</si>
  <si>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</si>
  <si>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</si>
  <si>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</si>
  <si>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</si>
  <si>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</si>
  <si>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</si>
  <si>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</si>
  <si>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</si>
  <si>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</si>
  <si>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</si>
  <si>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</si>
  <si>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</si>
  <si>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</si>
  <si>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</si>
  <si>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</si>
  <si>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</si>
  <si>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</si>
  <si>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</si>
  <si>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</si>
  <si>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</si>
  <si>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</si>
  <si>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</si>
  <si>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</si>
  <si>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</si>
  <si>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</si>
  <si>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</si>
  <si>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</si>
  <si>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</si>
  <si>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</si>
  <si>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</si>
  <si>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</si>
  <si>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</si>
  <si>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</si>
  <si>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</si>
  <si>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</si>
  <si>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</si>
  <si>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</si>
  <si>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</si>
  <si>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</si>
  <si>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</si>
  <si>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</si>
  <si>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</si>
  <si>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</si>
  <si>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</si>
  <si>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</si>
  <si>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</si>
  <si>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</si>
  <si>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</si>
  <si>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</si>
  <si>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</si>
  <si>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</si>
  <si>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</si>
  <si>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</si>
  <si>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</si>
  <si>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</si>
  <si>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</si>
  <si>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</si>
  <si>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</si>
  <si>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</si>
  <si>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</si>
  <si>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</si>
  <si>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</si>
  <si>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</si>
  <si>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</si>
  <si>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</si>
  <si>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</si>
  <si>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</si>
  <si>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</si>
  <si>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</si>
  <si>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</si>
  <si>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</si>
  <si>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</si>
  <si>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</si>
  <si>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</si>
  <si>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</si>
  <si>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</si>
  <si>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</si>
  <si>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</si>
  <si>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</si>
  <si>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</si>
  <si>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</si>
  <si>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</si>
  <si>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</si>
  <si>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</si>
  <si>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</si>
  <si>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</si>
  <si>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</si>
  <si>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</si>
  <si>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</si>
  <si>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</si>
  <si>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</si>
  <si>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</si>
  <si>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</si>
  <si>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</si>
  <si>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</si>
  <si>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</si>
  <si>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</si>
  <si>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</si>
  <si>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</si>
  <si>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</si>
  <si>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</si>
  <si>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</si>
  <si>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</si>
  <si>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</si>
  <si>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</si>
  <si>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</si>
  <si>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</si>
  <si>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</si>
  <si>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</si>
  <si>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</si>
  <si>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</si>
  <si>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</si>
  <si>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</si>
  <si>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</si>
  <si>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</si>
  <si>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</si>
  <si>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</si>
  <si>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</si>
  <si>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</si>
  <si>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</si>
  <si>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</si>
  <si>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</si>
  <si>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</si>
  <si>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</si>
  <si>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</si>
  <si>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</si>
  <si>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</si>
  <si>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</si>
  <si>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</si>
  <si>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</si>
  <si>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</si>
  <si>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</si>
  <si>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</si>
  <si>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</si>
  <si>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</si>
  <si>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</si>
  <si>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</si>
  <si>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</si>
  <si>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</si>
  <si>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</si>
  <si>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</si>
  <si>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</si>
  <si>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</si>
  <si>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</si>
  <si>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</si>
  <si>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</si>
  <si>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</si>
  <si>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</si>
  <si>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</si>
  <si>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</si>
  <si>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</si>
  <si>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</si>
  <si>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</si>
  <si>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</si>
  <si>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</si>
  <si>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</si>
  <si>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</si>
  <si>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</si>
  <si>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</si>
  <si>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</si>
  <si>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</si>
  <si>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</si>
  <si>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</si>
  <si>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</si>
  <si>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</si>
  <si>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</si>
  <si>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</si>
  <si>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</si>
  <si>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</si>
  <si>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</si>
  <si>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</si>
  <si>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</si>
  <si>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</si>
  <si>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</si>
  <si>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</si>
  <si>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</si>
  <si>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</si>
  <si>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</si>
  <si>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</si>
  <si>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</si>
  <si>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</si>
  <si>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</si>
  <si>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</si>
  <si>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</si>
  <si>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</si>
  <si>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</si>
  <si>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</si>
  <si>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</si>
  <si>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</si>
  <si>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</si>
  <si>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</si>
  <si>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</si>
  <si>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</si>
  <si>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</si>
  <si>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</si>
  <si>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</si>
  <si>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</si>
  <si>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</si>
  <si>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</si>
  <si>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</si>
  <si>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</si>
  <si>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</si>
  <si>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</si>
  <si>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</si>
  <si>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</si>
  <si>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</si>
  <si>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</si>
  <si>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</si>
  <si>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</si>
  <si>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</si>
  <si>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</si>
  <si>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</si>
  <si>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</si>
  <si>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</si>
  <si>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</si>
  <si>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</si>
  <si>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</si>
  <si>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</si>
  <si>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</si>
  <si>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</si>
  <si>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</si>
  <si>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</si>
  <si>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</si>
  <si>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</si>
  <si>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</si>
  <si>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</si>
  <si>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</si>
  <si>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</si>
  <si>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</si>
  <si>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</si>
  <si>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</si>
  <si>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</si>
  <si>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</si>
  <si>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</si>
  <si>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</si>
  <si>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</si>
  <si>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</si>
  <si>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</si>
  <si>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</si>
  <si>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</si>
  <si>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</si>
  <si>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</si>
  <si>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</si>
  <si>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</si>
  <si>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</si>
  <si>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</si>
  <si>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</si>
  <si>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</si>
  <si>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</si>
  <si>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</si>
  <si>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</si>
  <si>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</si>
  <si>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</si>
  <si>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</si>
  <si>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</si>
  <si>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</si>
  <si>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</si>
  <si>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</si>
  <si>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</si>
  <si>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</si>
  <si>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</si>
  <si>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</si>
  <si>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</si>
  <si>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</si>
  <si>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</si>
  <si>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</si>
  <si>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</si>
  <si>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</si>
  <si>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</si>
  <si>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</si>
  <si>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</si>
  <si>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</si>
  <si>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</si>
  <si>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</si>
  <si>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</si>
  <si>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</si>
  <si>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</si>
  <si>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</si>
  <si>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</si>
  <si>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</si>
  <si>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</si>
  <si>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</si>
  <si>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</si>
  <si>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</si>
  <si>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</si>
  <si>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</si>
  <si>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</si>
  <si>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</si>
  <si>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</si>
  <si>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</si>
  <si>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</si>
  <si>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</si>
  <si>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</si>
  <si>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</si>
  <si>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</si>
  <si>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</si>
  <si>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</si>
  <si>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</si>
  <si>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</si>
  <si>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</si>
  <si>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</si>
  <si>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</si>
  <si>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</si>
  <si>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</si>
  <si>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</si>
  <si>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</si>
  <si>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</si>
  <si>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</si>
  <si>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</si>
  <si>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</si>
  <si>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</si>
  <si>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</si>
  <si>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</si>
  <si>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</si>
  <si>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</si>
  <si>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</si>
  <si>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</si>
  <si>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</si>
  <si>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</si>
  <si>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</si>
  <si>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</si>
  <si>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</si>
  <si>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</si>
  <si>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</si>
  <si>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</si>
  <si>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</si>
  <si>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</si>
  <si>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</si>
  <si>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</si>
  <si>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</si>
  <si>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</si>
  <si>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</si>
  <si>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</si>
  <si>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</si>
  <si>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</si>
  <si>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</si>
  <si>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</si>
  <si>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</si>
  <si>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</si>
  <si>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</si>
  <si>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</si>
  <si>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</si>
  <si>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</si>
  <si>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</si>
  <si>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</si>
  <si>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</si>
  <si>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</si>
  <si>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</si>
  <si>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</si>
  <si>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</si>
  <si>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</si>
  <si>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</si>
  <si>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</si>
  <si>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</si>
  <si>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</si>
  <si>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</si>
  <si>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</si>
  <si>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</si>
  <si>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</si>
  <si>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</si>
  <si>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</si>
  <si>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</si>
  <si>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</si>
  <si>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</si>
  <si>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</si>
  <si>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</si>
  <si>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</si>
  <si>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</si>
  <si>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</si>
  <si>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</si>
  <si>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</si>
  <si>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</si>
  <si>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</si>
  <si>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</si>
  <si>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</si>
  <si>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</si>
  <si>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</si>
  <si>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</si>
  <si>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</si>
  <si>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</si>
  <si>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</si>
  <si>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</si>
  <si>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</si>
  <si>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</si>
  <si>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</si>
  <si>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</si>
  <si>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</si>
  <si>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</si>
  <si>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</si>
  <si>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</si>
  <si>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</si>
  <si>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</si>
  <si>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</si>
  <si>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</si>
  <si>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</si>
  <si>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</si>
  <si>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</si>
  <si>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</si>
  <si>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</si>
  <si>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</si>
  <si>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</si>
  <si>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</si>
  <si>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</si>
  <si>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</si>
  <si>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</si>
  <si>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</si>
  <si>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</si>
  <si>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</si>
  <si>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</si>
  <si>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</si>
  <si>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</si>
  <si>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</si>
  <si>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</si>
  <si>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</si>
  <si>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</si>
  <si>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</si>
  <si>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</si>
  <si>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</si>
  <si>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</si>
  <si>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</si>
  <si>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</si>
  <si>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</si>
  <si>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</si>
  <si>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</si>
  <si>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</si>
  <si>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</si>
  <si>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</si>
  <si>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</si>
  <si>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</si>
  <si>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</si>
  <si>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</si>
  <si>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</si>
  <si>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</si>
  <si>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</si>
  <si>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</si>
  <si>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</si>
  <si>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</si>
  <si>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</si>
  <si>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</si>
  <si>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</si>
  <si>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</si>
  <si>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</si>
  <si>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</si>
  <si>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</si>
  <si>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</si>
  <si>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</si>
  <si>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</si>
  <si>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</si>
  <si>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</si>
  <si>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</si>
  <si>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</si>
  <si>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</si>
  <si>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</si>
  <si>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</si>
  <si>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</si>
  <si>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</si>
  <si>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</si>
  <si>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</si>
  <si>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</si>
  <si>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</si>
  <si>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</si>
  <si>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</si>
  <si>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</si>
  <si>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</si>
  <si>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</si>
  <si>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</si>
  <si>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</si>
  <si>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</si>
  <si>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</si>
  <si>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</si>
  <si>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</si>
  <si>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</si>
  <si>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</si>
  <si>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</si>
  <si>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</si>
  <si>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</si>
  <si>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</si>
  <si>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</si>
  <si>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</si>
  <si>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</si>
  <si>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</si>
  <si>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</si>
  <si>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</si>
  <si>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</si>
  <si>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</si>
  <si>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</si>
  <si>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</si>
  <si>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</si>
  <si>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</si>
  <si>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</si>
  <si>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</si>
  <si>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</si>
  <si>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</si>
  <si>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</si>
  <si>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</si>
  <si>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</si>
  <si>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</si>
  <si>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</si>
  <si>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</si>
  <si>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</si>
  <si>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</si>
  <si>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</si>
  <si>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</si>
  <si>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</si>
  <si>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</si>
  <si>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</si>
  <si>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</si>
  <si>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</si>
  <si>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</si>
  <si>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</si>
  <si>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</si>
  <si>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</si>
  <si>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</si>
  <si>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</si>
  <si>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</si>
  <si>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</si>
  <si>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</si>
  <si>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</si>
  <si>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</si>
  <si>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</si>
  <si>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</si>
  <si>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</si>
  <si>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</si>
  <si>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</si>
  <si>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</si>
  <si>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</si>
  <si>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</si>
  <si>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</si>
  <si>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</si>
  <si>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</si>
  <si>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</si>
  <si>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</si>
  <si>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</si>
  <si>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</si>
  <si>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</si>
  <si>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</si>
  <si>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</si>
  <si>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</si>
  <si>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</si>
  <si>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</si>
  <si>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</si>
  <si>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</si>
  <si>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</si>
  <si>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</si>
  <si>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</si>
  <si>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</si>
  <si>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</si>
  <si>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</si>
  <si>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</si>
  <si>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</si>
  <si>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</si>
  <si>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</si>
  <si>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</si>
  <si>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</si>
  <si>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</si>
  <si>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</si>
  <si>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</si>
  <si>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</si>
  <si>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</si>
  <si>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</si>
  <si>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</si>
  <si>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</si>
  <si>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</si>
  <si>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</si>
  <si>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</si>
  <si>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</si>
  <si>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</si>
  <si>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</si>
  <si>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</si>
  <si>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</si>
  <si>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</si>
  <si>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</si>
  <si>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</si>
  <si>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</si>
  <si>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</si>
  <si>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</si>
  <si>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</si>
  <si>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</si>
  <si>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</si>
  <si>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</si>
  <si>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</si>
  <si>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</si>
  <si>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</si>
  <si>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</si>
  <si>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</si>
  <si>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</si>
  <si>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</si>
  <si>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</si>
  <si>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</si>
  <si>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</si>
  <si>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</si>
  <si>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</si>
  <si>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</si>
  <si>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</si>
  <si>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</si>
  <si>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</si>
  <si>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</si>
  <si>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</si>
  <si>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</si>
  <si>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</si>
  <si>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</si>
  <si>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</si>
  <si>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</si>
  <si>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</si>
  <si>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</si>
  <si>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</si>
  <si>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</si>
  <si>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</si>
  <si>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</si>
  <si>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</si>
  <si>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</si>
  <si>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</si>
  <si>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</si>
  <si>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</si>
  <si>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</si>
  <si>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</si>
  <si>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</si>
  <si>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</si>
  <si>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</si>
  <si>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</si>
  <si>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</si>
  <si>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</si>
  <si>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</si>
  <si>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</si>
  <si>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</si>
  <si>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</si>
  <si>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</si>
  <si>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</si>
  <si>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</si>
  <si>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</si>
  <si>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</si>
  <si>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</si>
  <si>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</si>
  <si>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</si>
  <si>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</si>
  <si>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</si>
  <si>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</si>
  <si>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</si>
  <si>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</si>
  <si>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</si>
  <si>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</si>
  <si>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</si>
  <si>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</si>
  <si>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</si>
  <si>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</si>
  <si>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</si>
  <si>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</si>
  <si>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</si>
  <si>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</si>
  <si>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</si>
  <si>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</si>
  <si>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</si>
  <si>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</si>
  <si>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</si>
  <si>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</si>
  <si>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</si>
  <si>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</si>
  <si>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</si>
  <si>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</si>
  <si>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</si>
  <si>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</si>
  <si>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</si>
  <si>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</si>
  <si>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</si>
  <si>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</si>
  <si>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</si>
  <si>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</si>
  <si>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</si>
  <si>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</si>
  <si>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</si>
  <si>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</si>
  <si>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</si>
  <si>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</si>
  <si>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</si>
  <si>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</si>
  <si>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</si>
  <si>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</si>
  <si>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</si>
  <si>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</si>
  <si>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</si>
  <si>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</si>
  <si>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</si>
  <si>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</si>
  <si>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</si>
  <si>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</si>
  <si>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</si>
  <si>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</si>
  <si>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</si>
  <si>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</si>
  <si>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</si>
  <si>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</si>
  <si>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</si>
  <si>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</si>
  <si>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</si>
  <si>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</si>
  <si>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</si>
  <si>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</si>
  <si>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</si>
  <si>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</si>
  <si>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</si>
  <si>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</si>
  <si>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</si>
  <si>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</si>
  <si>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</si>
  <si>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</si>
  <si>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</si>
  <si>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</si>
  <si>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</si>
  <si>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</si>
  <si>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</si>
  <si>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</si>
  <si>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</si>
  <si>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</si>
  <si>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</si>
  <si>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</si>
  <si>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</si>
  <si>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</si>
  <si>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</si>
  <si>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</si>
  <si>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</si>
  <si>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</si>
  <si>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</si>
  <si>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</si>
  <si>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</si>
  <si>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</si>
  <si>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</si>
  <si>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</si>
  <si>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</si>
  <si>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</si>
  <si>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</si>
  <si>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</si>
  <si>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</si>
  <si>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</si>
  <si>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</si>
  <si>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</si>
  <si>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</si>
  <si>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</si>
  <si>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</si>
  <si>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</si>
  <si>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</si>
  <si>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</si>
  <si>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</si>
  <si>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</si>
  <si>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</si>
  <si>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</si>
  <si>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</si>
  <si>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</si>
  <si>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</si>
  <si>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</si>
  <si>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</si>
  <si>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</si>
  <si>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</si>
  <si>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</si>
  <si>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</si>
  <si>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</si>
  <si>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</si>
  <si>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</si>
  <si>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</si>
  <si>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</si>
  <si>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</si>
  <si>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</si>
  <si>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</si>
  <si>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</si>
  <si>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</si>
  <si>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</si>
  <si>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</si>
  <si>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</si>
  <si>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</si>
  <si>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</si>
  <si>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</si>
  <si>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</si>
  <si>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</si>
  <si>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</si>
  <si>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</si>
  <si>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</si>
  <si>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</si>
  <si>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</si>
  <si>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</si>
  <si>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</si>
  <si>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</si>
  <si>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</si>
  <si>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</si>
  <si>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</si>
  <si>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</si>
  <si>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</si>
  <si>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</si>
  <si>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</si>
  <si>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</si>
  <si>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</si>
  <si>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</si>
  <si>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</si>
  <si>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</si>
  <si>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</si>
  <si>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</si>
  <si>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</si>
  <si>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</si>
  <si>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</si>
  <si>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</si>
  <si>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</si>
  <si>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</si>
  <si>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</si>
  <si>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</si>
  <si>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</si>
  <si>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</si>
  <si>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</si>
  <si>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</si>
  <si>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</si>
  <si>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</si>
  <si>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</si>
  <si>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</si>
  <si>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</si>
  <si>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</si>
  <si>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</si>
  <si>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</si>
  <si>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</si>
  <si>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</si>
  <si>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</si>
  <si>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</si>
  <si>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</si>
  <si>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</si>
  <si>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</si>
  <si>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</si>
  <si>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</si>
  <si>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</si>
  <si>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</si>
  <si>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</si>
  <si>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</si>
  <si>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</si>
  <si>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</si>
  <si>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</si>
  <si>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</si>
  <si>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</si>
  <si>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</si>
  <si>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</si>
  <si>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</si>
  <si>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</si>
  <si>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</si>
  <si>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</si>
  <si>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</si>
  <si>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</si>
  <si>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</si>
  <si>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</si>
  <si>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</si>
  <si>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</si>
  <si>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</si>
  <si>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</si>
  <si>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</si>
  <si>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</si>
  <si>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</si>
  <si>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</si>
  <si>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</si>
  <si>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</si>
  <si>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</si>
  <si>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</si>
  <si>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</si>
  <si>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</si>
  <si>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</si>
  <si>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</si>
  <si>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</si>
  <si>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</si>
  <si>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</si>
  <si>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</si>
  <si>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</si>
  <si>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</si>
  <si>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</si>
  <si>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</si>
  <si>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</si>
  <si>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</si>
  <si>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</si>
  <si>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</si>
  <si>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</si>
  <si>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</si>
  <si>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</si>
  <si>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</si>
  <si>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</si>
  <si>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</si>
  <si>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</si>
  <si>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</si>
  <si>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</si>
  <si>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</si>
  <si>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</si>
  <si>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</si>
  <si>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</si>
  <si>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</si>
  <si>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</si>
  <si>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</si>
  <si>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</si>
  <si>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</si>
  <si>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</si>
  <si>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</si>
  <si>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</si>
  <si>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</si>
  <si>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</si>
  <si>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</si>
  <si>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</si>
  <si>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</si>
  <si>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</si>
  <si>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</si>
  <si>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</si>
  <si>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</si>
  <si>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</si>
  <si>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</si>
  <si>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</si>
  <si>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</si>
  <si>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</si>
  <si>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</si>
  <si>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</si>
  <si>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</si>
  <si>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</si>
  <si>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</si>
  <si>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</si>
  <si>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</si>
  <si>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</si>
  <si>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</si>
  <si>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</si>
  <si>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</si>
  <si>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</si>
  <si>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</si>
  <si>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</si>
  <si>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</si>
  <si>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</si>
  <si>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</si>
  <si>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</si>
  <si>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</si>
  <si>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</si>
  <si>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</si>
  <si>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</si>
  <si>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</si>
  <si>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</si>
  <si>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</si>
  <si>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</si>
  <si>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</si>
  <si>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</si>
  <si>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</si>
  <si>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</si>
  <si>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</si>
  <si>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</si>
  <si>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</si>
  <si>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</si>
  <si>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</si>
  <si>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</si>
  <si>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</si>
  <si>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</si>
  <si>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</si>
  <si>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</si>
  <si>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</si>
  <si>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</si>
  <si>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</si>
  <si>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</si>
  <si>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</si>
  <si>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</si>
  <si>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</si>
  <si>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</si>
  <si>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</si>
  <si>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</si>
  <si>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</si>
  <si>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</si>
  <si>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</si>
  <si>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</si>
  <si>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</si>
  <si>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</si>
  <si>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</si>
  <si>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</si>
  <si>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</si>
  <si>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</si>
  <si>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</si>
  <si>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</si>
  <si>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</si>
  <si>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</si>
  <si>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</si>
  <si>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</si>
  <si>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</si>
  <si>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</si>
  <si>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</si>
  <si>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</si>
  <si>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</si>
  <si>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</si>
  <si>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</si>
  <si>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</si>
  <si>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</si>
  <si>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</si>
  <si>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</si>
  <si>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</si>
  <si>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</si>
  <si>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</si>
  <si>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</si>
  <si>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</si>
  <si>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</si>
  <si>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</si>
  <si>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</si>
  <si>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</si>
  <si>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</si>
  <si>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</si>
  <si>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</si>
  <si>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</si>
  <si>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</si>
  <si>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</si>
  <si>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</si>
  <si>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</si>
  <si>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</si>
  <si>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</si>
  <si>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</si>
  <si>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</si>
  <si>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</si>
  <si>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</si>
  <si>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</si>
  <si>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</si>
  <si>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</si>
  <si>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</si>
  <si>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</si>
  <si>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</si>
  <si>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</si>
  <si>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</si>
  <si>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</si>
  <si>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</si>
  <si>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</si>
  <si>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</si>
  <si>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</si>
  <si>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</si>
  <si>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</si>
  <si>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</si>
  <si>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</si>
  <si>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</si>
  <si>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</si>
  <si>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</si>
  <si>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</si>
  <si>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</si>
  <si>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</si>
  <si>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</si>
  <si>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</si>
  <si>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</si>
  <si>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</si>
  <si>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</si>
  <si>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</si>
  <si>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</si>
  <si>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</si>
  <si>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</si>
  <si>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</si>
  <si>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</si>
  <si>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</si>
  <si>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</si>
  <si>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</si>
  <si>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</si>
  <si>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</si>
  <si>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</si>
  <si>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</si>
  <si>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</si>
  <si>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</si>
  <si>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</si>
  <si>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</si>
  <si>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</si>
  <si>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</si>
  <si>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</si>
  <si>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</si>
  <si>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</si>
  <si>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</si>
  <si>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</si>
  <si>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</si>
  <si>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</si>
  <si>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</si>
  <si>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</si>
  <si>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</si>
  <si>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</si>
  <si>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</si>
  <si>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</si>
  <si>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</si>
  <si>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</si>
  <si>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</si>
  <si>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</si>
  <si>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</si>
  <si>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</si>
  <si>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</si>
  <si>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</si>
  <si>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</si>
  <si>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</si>
  <si>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</si>
  <si>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</si>
  <si>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</si>
  <si>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</si>
  <si>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</si>
  <si>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</si>
  <si>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</si>
  <si>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</si>
  <si>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</si>
  <si>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</si>
  <si>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</si>
  <si>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</si>
  <si>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</si>
  <si>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</si>
  <si>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</si>
  <si>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</si>
  <si>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</si>
  <si>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</si>
  <si>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</si>
  <si>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</si>
  <si>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</si>
  <si>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</si>
  <si>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</si>
  <si>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</si>
  <si>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</si>
  <si>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</si>
  <si>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</si>
  <si>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</si>
  <si>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</si>
  <si>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</si>
  <si>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</si>
  <si>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</si>
  <si>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</si>
  <si>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</si>
  <si>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</si>
  <si>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</si>
  <si>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</si>
  <si>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</si>
  <si>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</si>
  <si>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</si>
  <si>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</si>
  <si>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</si>
  <si>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</si>
  <si>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</si>
  <si>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</si>
  <si>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</si>
  <si>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</si>
  <si>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</si>
  <si>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</si>
  <si>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</si>
  <si>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</si>
  <si>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</si>
  <si>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</si>
  <si>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</si>
  <si>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</si>
  <si>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</si>
  <si>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</si>
  <si>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</si>
  <si>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</si>
  <si>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</si>
  <si>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</si>
  <si>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</si>
  <si>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</si>
  <si>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</si>
  <si>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</si>
  <si>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</si>
  <si>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</si>
  <si>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</si>
  <si>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</si>
  <si>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</si>
  <si>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</si>
  <si>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</si>
  <si>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</si>
  <si>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</si>
  <si>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</si>
  <si>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</si>
  <si>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</si>
  <si>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</si>
  <si>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</si>
  <si>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</si>
  <si>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</si>
  <si>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</si>
  <si>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</si>
  <si>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</si>
  <si>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</si>
  <si>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</si>
  <si>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</si>
  <si>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</si>
  <si>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</si>
  <si>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</si>
  <si>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</si>
  <si>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</si>
  <si>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</si>
  <si>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</si>
  <si>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</si>
  <si>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</si>
  <si>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</si>
  <si>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</si>
  <si>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</si>
  <si>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</si>
  <si>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</si>
  <si>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</si>
  <si>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</si>
  <si>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</si>
  <si>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</si>
  <si>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</si>
  <si>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</si>
  <si>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</si>
  <si>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</si>
  <si>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</si>
  <si>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</si>
  <si>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</si>
  <si>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</si>
  <si>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</si>
  <si>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</si>
  <si>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</si>
  <si>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</si>
  <si>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</si>
  <si>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</si>
  <si>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</si>
  <si>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</si>
  <si>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</si>
  <si>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</si>
  <si>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</si>
  <si>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</si>
  <si>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</si>
  <si>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</si>
  <si>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</si>
  <si>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</si>
  <si>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</si>
  <si>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</si>
  <si>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</si>
  <si>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</si>
  <si>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</si>
  <si>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</si>
  <si>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</si>
  <si>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</si>
  <si>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</si>
  <si>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</si>
  <si>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</si>
  <si>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</si>
  <si>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</si>
  <si>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</si>
  <si>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</si>
  <si>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</si>
  <si>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</si>
  <si>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</si>
  <si>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</si>
  <si>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</si>
  <si>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</si>
  <si>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</si>
  <si>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</si>
  <si>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</si>
  <si>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</si>
  <si>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</si>
  <si>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</si>
  <si>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</si>
  <si>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</si>
  <si>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</si>
  <si>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</si>
  <si>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</si>
  <si>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</si>
  <si>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</si>
  <si>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</si>
  <si>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</si>
  <si>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</si>
  <si>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</si>
  <si>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</si>
  <si>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</si>
  <si>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</si>
  <si>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</si>
  <si>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</si>
  <si>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</si>
  <si>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</si>
  <si>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</si>
  <si>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</si>
  <si>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</si>
  <si>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</si>
  <si>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</si>
  <si>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</si>
  <si>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</si>
  <si>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</si>
  <si>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</si>
  <si>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</si>
  <si>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</si>
  <si>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</si>
  <si>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</si>
  <si>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</si>
  <si>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</si>
  <si>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</si>
  <si>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</si>
  <si>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</si>
  <si>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</si>
  <si>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</si>
  <si>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</si>
  <si>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</si>
  <si>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</si>
  <si>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</si>
  <si>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</si>
  <si>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</si>
  <si>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</si>
  <si>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</si>
  <si>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</si>
  <si>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</si>
  <si>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</si>
  <si>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</si>
  <si>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</si>
  <si>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</si>
  <si>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</si>
  <si>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</si>
  <si>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</si>
  <si>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</si>
  <si>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</si>
  <si>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</si>
  <si>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</si>
  <si>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</si>
  <si>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</si>
  <si>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</si>
  <si>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</si>
  <si>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</si>
  <si>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</si>
  <si>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</si>
  <si>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</si>
  <si>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</si>
  <si>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</si>
  <si>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</si>
  <si>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</si>
  <si>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</si>
  <si>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</si>
  <si>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</si>
  <si>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</si>
  <si>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</si>
  <si>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</si>
  <si>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</si>
  <si>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</si>
  <si>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</si>
  <si>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</si>
  <si>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</si>
  <si>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</si>
  <si>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</si>
  <si>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</si>
  <si>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</si>
  <si>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</si>
  <si>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</si>
  <si>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</si>
  <si>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</si>
  <si>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</si>
  <si>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</si>
  <si>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</si>
  <si>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</si>
  <si>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</si>
  <si>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</si>
  <si>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</si>
  <si>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</si>
  <si>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</si>
  <si>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</si>
  <si>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</si>
  <si>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</si>
  <si>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</si>
  <si>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</si>
  <si>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</si>
  <si>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</si>
  <si>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</si>
  <si>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</si>
  <si>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</si>
  <si>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</si>
  <si>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</si>
  <si>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</si>
  <si>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</si>
  <si>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</si>
  <si>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</si>
  <si>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</si>
  <si>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</si>
  <si>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</si>
  <si>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</si>
  <si>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</si>
  <si>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</si>
  <si>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</si>
  <si>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</si>
  <si>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</si>
  <si>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</si>
  <si>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</si>
  <si>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</si>
  <si>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</si>
  <si>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</si>
  <si>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</si>
  <si>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</si>
  <si>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</si>
  <si>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</si>
  <si>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</si>
  <si>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</si>
  <si>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</si>
  <si>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</si>
  <si>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</si>
  <si>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</si>
  <si>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</si>
  <si>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</si>
  <si>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</si>
  <si>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</si>
  <si>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</si>
  <si>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</si>
  <si>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</si>
  <si>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</si>
  <si>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</si>
  <si>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</si>
  <si>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</si>
  <si>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</si>
  <si>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</si>
  <si>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</si>
  <si>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</si>
  <si>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</si>
  <si>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</si>
  <si>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</si>
  <si>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</si>
  <si>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</si>
  <si>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</si>
  <si>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</si>
  <si>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</si>
  <si>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</si>
  <si>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</si>
  <si>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</si>
  <si>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</si>
  <si>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</si>
  <si>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</si>
  <si>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</si>
  <si>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</si>
  <si>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</si>
  <si>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</si>
  <si>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</si>
  <si>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</si>
  <si>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</si>
  <si>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</si>
  <si>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</si>
  <si>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</si>
  <si>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</si>
  <si>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</si>
  <si>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</si>
  <si>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</si>
  <si>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</si>
  <si>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</si>
  <si>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</si>
  <si>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</si>
  <si>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</si>
  <si>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</si>
  <si>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</si>
  <si>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</si>
  <si>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</si>
  <si>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</si>
  <si>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</si>
  <si>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</si>
  <si>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</si>
  <si>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</si>
  <si>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</si>
  <si>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</si>
  <si>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</si>
  <si>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</si>
  <si>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</si>
  <si>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</si>
  <si>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</si>
  <si>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</si>
  <si>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</si>
  <si>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</si>
  <si>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</si>
  <si>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</si>
  <si>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</si>
  <si>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</si>
  <si>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</si>
  <si>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</si>
  <si>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</si>
  <si>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</si>
  <si>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</si>
  <si>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</si>
  <si>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</si>
  <si>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</si>
  <si>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</si>
  <si>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</si>
  <si>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</si>
  <si>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</si>
  <si>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</si>
  <si>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</si>
  <si>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</si>
  <si>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</si>
  <si>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</si>
  <si>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</si>
  <si>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</si>
  <si>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</si>
  <si>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</si>
  <si>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</si>
  <si>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</si>
  <si>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</si>
  <si>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</si>
  <si>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</si>
  <si>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</si>
  <si>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</si>
  <si>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</si>
  <si>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</si>
  <si>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</si>
  <si>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</si>
  <si>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</si>
  <si>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</si>
  <si>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</si>
  <si>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</si>
  <si>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</si>
  <si>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</si>
  <si>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</si>
  <si>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</si>
  <si>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</si>
  <si>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</si>
  <si>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</si>
  <si>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</si>
  <si>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</si>
  <si>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</si>
  <si>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</si>
  <si>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</si>
  <si>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</si>
  <si>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</si>
  <si>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</si>
  <si>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</si>
  <si>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</si>
  <si>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</si>
  <si>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</si>
  <si>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</si>
  <si>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</si>
  <si>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</si>
  <si>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</si>
  <si>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</si>
  <si>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</si>
  <si>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</si>
  <si>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</si>
  <si>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</si>
  <si>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</si>
  <si>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</si>
  <si>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</si>
  <si>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</si>
  <si>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</si>
  <si>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</si>
  <si>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</si>
  <si>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</si>
  <si>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</si>
  <si>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</si>
  <si>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</si>
  <si>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</si>
  <si>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</si>
  <si>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</si>
  <si>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</si>
  <si>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</si>
  <si>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</si>
  <si>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</si>
  <si>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</si>
  <si>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</si>
  <si>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</si>
  <si>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</si>
  <si>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</si>
  <si>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</si>
  <si>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</si>
  <si>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</si>
  <si>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</si>
  <si>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</si>
  <si>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</si>
  <si>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</si>
  <si>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</si>
  <si>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</si>
  <si>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</si>
  <si>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</si>
  <si>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</si>
  <si>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</si>
  <si>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</si>
  <si>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</si>
  <si>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</si>
  <si>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</si>
  <si>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</si>
  <si>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</si>
  <si>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</si>
  <si>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</si>
  <si>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</si>
  <si>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</si>
  <si>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</si>
  <si>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</si>
  <si>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</si>
  <si>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</si>
  <si>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</si>
  <si>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</si>
  <si>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</si>
  <si>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</si>
  <si>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</si>
  <si>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</si>
  <si>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</si>
  <si>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</si>
  <si>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</si>
  <si>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</si>
  <si>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</si>
  <si>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</si>
  <si>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</si>
  <si>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</si>
  <si>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</si>
  <si>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</si>
  <si>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</si>
  <si>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</si>
  <si>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</si>
  <si>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</si>
  <si>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</si>
  <si>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</si>
  <si>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</si>
  <si>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</si>
  <si>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</si>
  <si>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</si>
  <si>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</si>
  <si>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</si>
  <si>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</si>
  <si>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</si>
  <si>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</si>
  <si>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</si>
  <si>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</si>
  <si>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</si>
  <si>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</si>
  <si>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</si>
  <si>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</si>
  <si>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</si>
  <si>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</si>
  <si>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</si>
  <si>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</si>
  <si>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</si>
  <si>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</si>
  <si>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</si>
  <si>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</si>
  <si>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</si>
  <si>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</si>
  <si>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</si>
  <si>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</si>
  <si>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</si>
  <si>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</si>
  <si>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</si>
  <si>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</si>
  <si>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</si>
  <si>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</si>
  <si>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</si>
  <si>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</si>
  <si>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</si>
  <si>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</si>
  <si>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</si>
  <si>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</si>
  <si>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</si>
  <si>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</si>
  <si>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</si>
  <si>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</si>
  <si>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</si>
  <si>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</si>
  <si>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</si>
  <si>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</si>
  <si>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</si>
  <si>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</si>
  <si>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</si>
  <si>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</si>
  <si>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</si>
  <si>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</si>
  <si>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</si>
  <si>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</si>
  <si>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</si>
  <si>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</si>
  <si>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</si>
  <si>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</si>
  <si>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</si>
  <si>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</si>
  <si>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</si>
  <si>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</si>
  <si>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</si>
  <si>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</si>
  <si>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</si>
  <si>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</si>
  <si>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</si>
  <si>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</si>
  <si>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</si>
  <si>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</si>
  <si>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</si>
  <si>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</si>
  <si>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</si>
  <si>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</si>
  <si>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</si>
  <si>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</si>
  <si>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</si>
  <si>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</si>
  <si>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</si>
  <si>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</si>
  <si>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</si>
  <si>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</si>
  <si>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</si>
  <si>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</si>
  <si>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</si>
  <si>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</si>
  <si>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</si>
  <si>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</si>
  <si>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</si>
  <si>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</si>
  <si>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</si>
  <si>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</si>
  <si>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</si>
  <si>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</si>
  <si>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</si>
  <si>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</si>
  <si>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</si>
  <si>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</si>
  <si>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</si>
  <si>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</si>
  <si>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</si>
  <si>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</si>
  <si>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</si>
  <si>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</si>
  <si>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</si>
  <si>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</si>
  <si>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</si>
  <si>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</si>
  <si>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</si>
  <si>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</si>
  <si>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</si>
  <si>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</si>
  <si>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</si>
  <si>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</si>
  <si>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</si>
  <si>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</si>
  <si>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</si>
  <si>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</si>
  <si>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</si>
  <si>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</si>
  <si>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</si>
  <si>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</si>
  <si>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</si>
  <si>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</si>
  <si>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</si>
  <si>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</si>
  <si>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</si>
  <si>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</si>
  <si>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</si>
  <si>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</si>
  <si>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</si>
  <si>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</si>
  <si>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</si>
  <si>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</si>
  <si>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</si>
  <si>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</si>
  <si>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</si>
  <si>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</si>
  <si>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</si>
  <si>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</si>
  <si>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</si>
  <si>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</si>
  <si>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</si>
  <si>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</si>
  <si>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</si>
  <si>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</si>
  <si>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</si>
  <si>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</si>
  <si>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</si>
  <si>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</si>
  <si>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</si>
  <si>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</si>
  <si>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</si>
  <si>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</si>
  <si>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</si>
  <si>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</si>
  <si>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</si>
  <si>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</si>
  <si>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</si>
  <si>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</si>
  <si>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</si>
  <si>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</si>
  <si>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</si>
  <si>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</si>
  <si>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</si>
  <si>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</si>
  <si>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</si>
  <si>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</si>
  <si>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</si>
  <si>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</si>
  <si>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</si>
  <si>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</si>
  <si>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</si>
  <si>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</si>
  <si>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</si>
  <si>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</si>
  <si>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</si>
  <si>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</si>
  <si>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</si>
  <si>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</si>
  <si>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</si>
  <si>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</si>
  <si>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</si>
  <si>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</si>
  <si>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</si>
  <si>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</si>
  <si>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</si>
  <si>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</si>
  <si>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</si>
  <si>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</si>
  <si>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</si>
  <si>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</si>
  <si>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</si>
  <si>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</si>
  <si>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</si>
  <si>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</si>
  <si>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</si>
  <si>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</si>
  <si>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</si>
  <si>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</si>
  <si>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</si>
  <si>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</si>
  <si>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</si>
  <si>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</si>
  <si>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</si>
  <si>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</si>
  <si>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</si>
  <si>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</si>
  <si>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</si>
  <si>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</si>
  <si>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</si>
  <si>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</si>
  <si>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</si>
  <si>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</si>
  <si>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</si>
  <si>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</si>
  <si>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</si>
  <si>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</si>
  <si>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</si>
  <si>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</si>
  <si>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</si>
  <si>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</si>
  <si>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</si>
  <si>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</si>
  <si>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</si>
  <si>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</si>
  <si>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</si>
  <si>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</si>
  <si>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</si>
  <si>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</si>
  <si>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</si>
  <si>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</si>
  <si>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</si>
  <si>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</si>
  <si>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</si>
  <si>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</si>
  <si>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</si>
  <si>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</si>
  <si>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</si>
  <si>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</si>
  <si>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</si>
  <si>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</si>
  <si>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</si>
  <si>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</si>
  <si>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</si>
  <si>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</si>
  <si>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</si>
  <si>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</si>
  <si>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</si>
  <si>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</si>
  <si>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</si>
  <si>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</si>
  <si>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</si>
  <si>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</si>
  <si>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</si>
  <si>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</si>
  <si>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</si>
  <si>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</si>
  <si>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</si>
  <si>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</si>
  <si>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</si>
  <si>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</si>
  <si>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</si>
  <si>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</si>
  <si>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</si>
  <si>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</si>
  <si>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</si>
  <si>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</si>
  <si>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</si>
  <si>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</si>
  <si>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</si>
  <si>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</si>
  <si>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</si>
  <si>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</si>
  <si>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</si>
  <si>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</si>
  <si>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</si>
  <si>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</si>
  <si>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</si>
  <si>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</si>
  <si>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</si>
  <si>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</si>
  <si>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</si>
  <si>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</si>
  <si>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</si>
  <si>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</si>
  <si>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</si>
  <si>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</si>
  <si>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</si>
  <si>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</si>
  <si>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</si>
  <si>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</si>
  <si>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</si>
  <si>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</si>
  <si>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</si>
  <si>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</si>
  <si>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</si>
  <si>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</si>
  <si>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</si>
  <si>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</si>
  <si>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</si>
  <si>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</si>
  <si>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</si>
  <si>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</si>
  <si>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</si>
  <si>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</si>
  <si>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</si>
  <si>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</si>
  <si>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</si>
  <si>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</si>
  <si>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</si>
  <si>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</si>
  <si>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</si>
  <si>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</si>
  <si>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</si>
  <si>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</si>
  <si>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</si>
  <si>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</si>
  <si>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</si>
  <si>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</si>
  <si>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</si>
  <si>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</si>
  <si>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</si>
  <si>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</si>
  <si>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</si>
  <si>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</si>
  <si>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</si>
  <si>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</si>
  <si>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</si>
  <si>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</si>
  <si>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</si>
  <si>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</si>
  <si>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</si>
  <si>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</si>
  <si>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</si>
  <si>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</si>
  <si>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</si>
  <si>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</si>
  <si>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</si>
  <si>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</si>
  <si>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</si>
  <si>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</si>
  <si>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</si>
  <si>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</si>
  <si>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</si>
  <si>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</si>
  <si>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</si>
  <si>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</si>
  <si>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</si>
  <si>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</si>
  <si>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</si>
  <si>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</si>
  <si>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</si>
  <si>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</si>
  <si>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</si>
  <si>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</si>
  <si>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</si>
  <si>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</si>
  <si>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</si>
  <si>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</si>
  <si>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</si>
  <si>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</si>
  <si>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</si>
  <si>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</si>
  <si>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</si>
  <si>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</si>
  <si>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</si>
  <si>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</si>
  <si>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</si>
  <si>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</si>
  <si>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</si>
  <si>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</si>
  <si>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</si>
  <si>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</si>
  <si>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</si>
  <si>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</si>
  <si>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</si>
  <si>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</si>
  <si>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</si>
  <si>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</si>
  <si>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</si>
  <si>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</si>
  <si>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</si>
  <si>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</si>
  <si>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</si>
  <si>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</si>
  <si>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</si>
  <si>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</si>
  <si>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</si>
  <si>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</si>
  <si>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</si>
  <si>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</si>
  <si>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</si>
  <si>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</si>
  <si>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</si>
  <si>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</si>
  <si>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</si>
  <si>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</si>
  <si>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</si>
  <si>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</si>
  <si>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</si>
  <si>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</si>
  <si>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</si>
  <si>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</si>
  <si>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</si>
  <si>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</si>
  <si>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</si>
  <si>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</si>
  <si>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</si>
  <si>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</si>
  <si>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</si>
  <si>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</si>
  <si>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</si>
  <si>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</si>
  <si>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</si>
  <si>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</si>
  <si>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</si>
  <si>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</si>
  <si>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</si>
  <si>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</si>
  <si>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</si>
  <si>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</si>
  <si>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</si>
  <si>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</si>
  <si>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</si>
  <si>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</si>
  <si>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</si>
  <si>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</si>
  <si>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</si>
  <si>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</si>
  <si>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</si>
  <si>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</si>
  <si>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</si>
  <si>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</si>
  <si>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</si>
  <si>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</si>
  <si>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</si>
  <si>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</si>
  <si>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</si>
  <si>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</si>
  <si>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</si>
  <si>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</si>
  <si>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</si>
  <si>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</si>
  <si>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</si>
  <si>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</si>
  <si>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</si>
  <si>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</si>
  <si>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</si>
  <si>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</si>
  <si>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</si>
  <si>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</si>
  <si>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</si>
  <si>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</si>
  <si>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</si>
  <si>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</si>
  <si>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</si>
  <si>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</si>
  <si>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</si>
  <si>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</si>
  <si>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</si>
  <si>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</si>
  <si>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</si>
  <si>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</si>
  <si>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</si>
  <si>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</si>
  <si>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</si>
  <si>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</si>
  <si>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</si>
  <si>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</si>
  <si>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</si>
  <si>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</si>
  <si>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</si>
  <si>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</si>
  <si>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</si>
  <si>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</si>
  <si>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</si>
  <si>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</si>
  <si>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</si>
  <si>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</si>
  <si>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</si>
  <si>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</si>
  <si>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</si>
  <si>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</si>
  <si>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</si>
  <si>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</si>
  <si>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</si>
  <si>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</si>
  <si>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</si>
  <si>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</si>
  <si>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</si>
  <si>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</si>
  <si>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</si>
  <si>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</si>
  <si>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</si>
  <si>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</si>
  <si>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</si>
  <si>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</si>
  <si>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</si>
  <si>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</si>
  <si>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</si>
  <si>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</si>
  <si>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</si>
  <si>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</si>
  <si>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</si>
  <si>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</si>
  <si>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</si>
  <si>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</si>
  <si>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</si>
  <si>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</si>
  <si>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</si>
  <si>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</si>
  <si>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</si>
  <si>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</si>
  <si>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</si>
  <si>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</si>
  <si>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</si>
  <si>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</si>
  <si>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</si>
  <si>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</si>
  <si>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</si>
  <si>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</si>
  <si>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</si>
  <si>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</si>
  <si>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</si>
  <si>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</si>
  <si>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</si>
  <si>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</si>
  <si>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</si>
  <si>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</si>
  <si>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</si>
  <si>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</si>
  <si>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</si>
  <si>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</si>
  <si>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</si>
  <si>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</si>
  <si>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</si>
  <si>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</si>
  <si>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</si>
  <si>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</si>
  <si>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</si>
  <si>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</si>
  <si>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</si>
  <si>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</si>
  <si>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</si>
  <si>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</si>
  <si>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</si>
  <si>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</si>
  <si>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</si>
  <si>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</si>
  <si>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</si>
  <si>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</si>
  <si>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</si>
  <si>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</si>
  <si>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</si>
  <si>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</si>
  <si>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</si>
  <si>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</si>
  <si>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</si>
  <si>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</si>
  <si>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</si>
  <si>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</si>
  <si>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</si>
  <si>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</si>
  <si>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</si>
  <si>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</si>
  <si>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</si>
  <si>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</si>
  <si>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</si>
  <si>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</si>
  <si>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</si>
  <si>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</si>
  <si>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</si>
  <si>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</si>
  <si>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</si>
  <si>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</si>
  <si>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</si>
  <si>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</si>
  <si>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</si>
  <si>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</si>
  <si>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</si>
  <si>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</si>
  <si>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</si>
  <si>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</si>
  <si>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</si>
  <si>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</si>
  <si>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</si>
  <si>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</si>
  <si>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</si>
  <si>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</si>
  <si>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</si>
  <si>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</si>
  <si>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</si>
  <si>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</si>
  <si>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</si>
  <si>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</si>
  <si>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</si>
  <si>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</si>
  <si>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</si>
  <si>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</si>
  <si>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</si>
  <si>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</si>
  <si>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</si>
  <si>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</si>
  <si>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</si>
  <si>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</si>
  <si>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</si>
  <si>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</si>
  <si>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</si>
  <si>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</si>
  <si>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</si>
  <si>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</si>
  <si>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</si>
  <si>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</si>
  <si>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</si>
  <si>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</si>
  <si>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</si>
  <si>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</si>
  <si>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</si>
  <si>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</si>
  <si>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</si>
  <si>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</si>
  <si>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</si>
  <si>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</si>
  <si>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</si>
  <si>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</si>
  <si>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</si>
  <si>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</si>
  <si>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</si>
  <si>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</si>
  <si>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</si>
  <si>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</si>
  <si>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</si>
  <si>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</si>
  <si>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</si>
  <si>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</si>
  <si>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</si>
  <si>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</si>
  <si>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</si>
  <si>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</si>
  <si>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</si>
  <si>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</si>
  <si>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</si>
  <si>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</si>
  <si>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</si>
  <si>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</si>
  <si>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</si>
  <si>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</si>
  <si>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</si>
  <si>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</si>
  <si>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</si>
  <si>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</si>
  <si>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</si>
  <si>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</si>
  <si>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</si>
  <si>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</si>
  <si>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</si>
  <si>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</si>
  <si>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</si>
  <si>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</si>
  <si>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</si>
  <si>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</si>
  <si>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</si>
  <si>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</si>
  <si>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</si>
  <si>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</si>
  <si>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</si>
  <si>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</si>
  <si>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</si>
  <si>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</si>
  <si>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</si>
  <si>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</si>
  <si>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</si>
  <si>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</si>
  <si>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</si>
  <si>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</si>
  <si>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</si>
  <si>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</si>
  <si>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</si>
  <si>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</si>
  <si>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</si>
  <si>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</si>
  <si>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</si>
  <si>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</si>
  <si>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</si>
  <si>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</si>
  <si>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</si>
  <si>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</si>
  <si>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</si>
  <si>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</si>
  <si>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</si>
  <si>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</si>
  <si>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</si>
  <si>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</si>
  <si>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</si>
  <si>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</si>
  <si>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</si>
  <si>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</si>
  <si>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</si>
  <si>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</si>
  <si>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</si>
  <si>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</si>
  <si>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</si>
  <si>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</si>
  <si>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</si>
  <si>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</si>
  <si>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</si>
  <si>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</si>
  <si>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</si>
  <si>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</si>
  <si>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</si>
  <si>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</si>
  <si>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</si>
  <si>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</si>
  <si>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</si>
  <si>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</si>
  <si>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</si>
  <si>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</si>
  <si>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</si>
  <si>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</si>
  <si>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</si>
  <si>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</si>
  <si>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</si>
  <si>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</si>
  <si>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</si>
  <si>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</si>
  <si>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</si>
  <si>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</si>
  <si>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</si>
  <si>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</si>
  <si>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</si>
  <si>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</si>
  <si>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</si>
  <si>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</si>
  <si>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</si>
  <si>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</si>
  <si>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</si>
  <si>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</si>
  <si>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</si>
  <si>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</si>
  <si>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</si>
  <si>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</si>
  <si>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</si>
  <si>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</si>
  <si>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</si>
  <si>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</si>
  <si>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</si>
  <si>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</si>
  <si>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</si>
  <si>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</si>
  <si>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</si>
  <si>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</si>
  <si>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</si>
  <si>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</si>
  <si>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</si>
  <si>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</si>
  <si>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</si>
  <si>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</si>
  <si>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</si>
  <si>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</si>
  <si>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</si>
  <si>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</si>
  <si>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</si>
  <si>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</si>
  <si>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</si>
  <si>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</si>
  <si>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</si>
  <si>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</si>
  <si>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</si>
  <si>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</si>
  <si>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</si>
  <si>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</si>
  <si>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</si>
  <si>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</si>
  <si>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</si>
  <si>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</si>
  <si>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</si>
  <si>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</si>
  <si>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</si>
  <si>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</si>
  <si>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</si>
  <si>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</si>
  <si>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</si>
  <si>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</si>
  <si>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</si>
  <si>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</si>
  <si>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</si>
  <si>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</si>
  <si>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</si>
  <si>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</si>
  <si>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</si>
  <si>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</si>
  <si>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</si>
  <si>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</si>
  <si>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</si>
  <si>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</si>
  <si>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</si>
  <si>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</si>
  <si>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</si>
  <si>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</si>
  <si>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</si>
  <si>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</si>
  <si>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</si>
  <si>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</si>
  <si>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</si>
  <si>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</si>
  <si>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</si>
  <si>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</si>
  <si>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</si>
  <si>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</si>
  <si>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</si>
  <si>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</si>
  <si>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</si>
  <si>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</si>
  <si>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</si>
  <si>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</si>
  <si>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</si>
  <si>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</si>
  <si>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</si>
  <si>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</si>
  <si>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</si>
  <si>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</si>
  <si>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</si>
  <si>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</si>
  <si>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</si>
  <si>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</si>
  <si>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</si>
  <si>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</si>
  <si>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</si>
  <si>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</si>
  <si>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</si>
  <si>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</si>
  <si>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</si>
  <si>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</si>
  <si>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</si>
  <si>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</si>
  <si>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</si>
  <si>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</si>
  <si>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</si>
  <si>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</si>
  <si>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</si>
  <si>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</si>
  <si>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</si>
  <si>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</si>
  <si>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</si>
  <si>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</si>
  <si>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</si>
  <si>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</si>
  <si>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</si>
  <si>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</si>
  <si>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</si>
  <si>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</si>
  <si>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</si>
  <si>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</si>
  <si>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</si>
  <si>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</si>
  <si>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</si>
  <si>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</si>
  <si>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</si>
  <si>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</si>
  <si>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</si>
  <si>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</si>
  <si>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</si>
  <si>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</si>
  <si>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</si>
  <si>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</si>
  <si>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</si>
  <si>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</si>
  <si>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</si>
  <si>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</si>
  <si>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</si>
  <si>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</si>
  <si>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</si>
  <si>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</si>
  <si>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</si>
  <si>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</si>
  <si>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</si>
  <si>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</si>
  <si>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</si>
  <si>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</si>
  <si>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</si>
  <si>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</si>
  <si>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</si>
  <si>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</si>
  <si>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</si>
  <si>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</si>
  <si>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</si>
  <si>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</si>
  <si>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</si>
  <si>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</si>
  <si>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</si>
  <si>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</si>
  <si>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</si>
  <si>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</si>
  <si>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</si>
  <si>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</si>
  <si>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</si>
  <si>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</si>
  <si>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</si>
  <si>
    <t>サービス</t>
    <phoneticPr fontId="10"/>
  </si>
  <si>
    <t>https://kotobank.jp/word/%E6%97%A5%E8%B2%BF%E4%BF%A1-172729</t>
    <phoneticPr fontId="10"/>
  </si>
  <si>
    <t>卸売</t>
    <rPh sb="0" eb="2">
      <t>オロシウ</t>
    </rPh>
    <phoneticPr fontId="10"/>
  </si>
  <si>
    <t>2015年</t>
    <phoneticPr fontId="10"/>
  </si>
  <si>
    <t>フード・プラネット</t>
    <phoneticPr fontId="10"/>
  </si>
  <si>
    <t>2018年12月破産</t>
    <rPh sb="4" eb="5">
      <t>ネン</t>
    </rPh>
    <rPh sb="7" eb="8">
      <t>ガツ</t>
    </rPh>
    <rPh sb="8" eb="10">
      <t>ハサン</t>
    </rPh>
    <phoneticPr fontId="10"/>
  </si>
  <si>
    <t>12年6月民事再生法</t>
    <rPh sb="2" eb="3">
      <t>ネン</t>
    </rPh>
    <rPh sb="4" eb="5">
      <t>ガツ</t>
    </rPh>
    <rPh sb="5" eb="10">
      <t>ミンジサイセイホウ</t>
    </rPh>
    <phoneticPr fontId="10"/>
  </si>
  <si>
    <t>その後不明</t>
    <rPh sb="2" eb="3">
      <t>ゴ</t>
    </rPh>
    <rPh sb="3" eb="5">
      <t>フメイ</t>
    </rPh>
    <phoneticPr fontId="10"/>
  </si>
  <si>
    <t>情報・通信業</t>
  </si>
  <si>
    <t>現在:東ソー子会社</t>
    <rPh sb="0" eb="2">
      <t>ゲンザイ</t>
    </rPh>
    <rPh sb="3" eb="4">
      <t>トウ</t>
    </rPh>
    <rPh sb="6" eb="9">
      <t>コガイシャ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</si>
  <si>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</si>
  <si>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</si>
  <si>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</si>
  <si>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現在:LDH</t>
    <rPh sb="0" eb="2">
      <t>ゲンザイ</t>
    </rPh>
    <phoneticPr fontId="10"/>
  </si>
  <si>
    <t>輸送用機器</t>
    <phoneticPr fontId="10"/>
  </si>
  <si>
    <t>現在:経営共創基盤に合併</t>
    <rPh sb="0" eb="2">
      <t>ゲンザイ</t>
    </rPh>
    <phoneticPr fontId="10"/>
  </si>
  <si>
    <t>2014年9月破産</t>
    <rPh sb="4" eb="5">
      <t>ネン</t>
    </rPh>
    <rPh sb="6" eb="7">
      <t>ガツ</t>
    </rPh>
    <rPh sb="7" eb="9">
      <t>ハサン</t>
    </rPh>
    <phoneticPr fontId="10"/>
  </si>
  <si>
    <t>2012年再上場</t>
    <rPh sb="4" eb="5">
      <t>ネン</t>
    </rPh>
    <rPh sb="5" eb="8">
      <t>サイジョウジョウ</t>
    </rPh>
    <phoneticPr fontId="10"/>
  </si>
  <si>
    <t>存続？少なくとも2016年存在</t>
    <rPh sb="0" eb="2">
      <t>ソンゾク</t>
    </rPh>
    <rPh sb="3" eb="4">
      <t>スク</t>
    </rPh>
    <rPh sb="12" eb="13">
      <t>ネン</t>
    </rPh>
    <rPh sb="13" eb="15">
      <t>ソンザイ</t>
    </rPh>
    <phoneticPr fontId="10"/>
  </si>
  <si>
    <t>情報・通信業</t>
    <phoneticPr fontId="10"/>
  </si>
  <si>
    <t>2016年7月破産</t>
    <rPh sb="4" eb="5">
      <t>ネン</t>
    </rPh>
    <rPh sb="6" eb="7">
      <t>ガツ</t>
    </rPh>
    <rPh sb="7" eb="9">
      <t>ハサン</t>
    </rPh>
    <phoneticPr fontId="10"/>
  </si>
  <si>
    <t>製造・金融</t>
    <rPh sb="0" eb="2">
      <t>セイゾウ</t>
    </rPh>
    <rPh sb="3" eb="5">
      <t>キンユウ</t>
    </rPh>
    <phoneticPr fontId="10"/>
  </si>
  <si>
    <t>同年6月破産</t>
    <rPh sb="0" eb="2">
      <t>ドウネン</t>
    </rPh>
    <rPh sb="3" eb="4">
      <t>ガツ</t>
    </rPh>
    <rPh sb="4" eb="6">
      <t>ハサン</t>
    </rPh>
    <phoneticPr fontId="10"/>
  </si>
  <si>
    <t>同年11月破産</t>
    <rPh sb="0" eb="2">
      <t>ドウネン</t>
    </rPh>
    <rPh sb="4" eb="5">
      <t>ガツ</t>
    </rPh>
    <rPh sb="5" eb="7">
      <t>ハサン</t>
    </rPh>
    <phoneticPr fontId="10"/>
  </si>
  <si>
    <t>ASフーズに事業譲渡、旧会社は民事再生手続継続</t>
    <rPh sb="6" eb="10">
      <t>ジギョウジョウト</t>
    </rPh>
    <rPh sb="11" eb="12">
      <t>キュウ</t>
    </rPh>
    <rPh sb="12" eb="14">
      <t>ガイシャ</t>
    </rPh>
    <rPh sb="15" eb="21">
      <t>ミンジサイ</t>
    </rPh>
    <rPh sb="21" eb="23">
      <t>ケイゾク</t>
    </rPh>
    <phoneticPr fontId="10"/>
  </si>
  <si>
    <t>親会社の意向　3期連続赤字見込みの為。</t>
    <rPh sb="0" eb="3">
      <t>オヤガイシャ</t>
    </rPh>
    <rPh sb="4" eb="6">
      <t>イコウ</t>
    </rPh>
    <rPh sb="8" eb="9">
      <t>キ</t>
    </rPh>
    <rPh sb="9" eb="11">
      <t>レンゾク</t>
    </rPh>
    <rPh sb="11" eb="13">
      <t>アカジ</t>
    </rPh>
    <rPh sb="13" eb="15">
      <t>ミコ</t>
    </rPh>
    <rPh sb="17" eb="18">
      <t>タメ</t>
    </rPh>
    <phoneticPr fontId="10"/>
  </si>
  <si>
    <t>存続</t>
    <rPh sb="0" eb="2">
      <t>ソンゾク</t>
    </rPh>
    <phoneticPr fontId="10"/>
  </si>
  <si>
    <t>00003010</t>
    <phoneticPr fontId="10"/>
  </si>
  <si>
    <t>現在:マイクロンメモリジャパン(マイクロンメモリ子会社)</t>
    <rPh sb="0" eb="2">
      <t>ゲンザイ</t>
    </rPh>
    <rPh sb="24" eb="27">
      <t>コガイシャ</t>
    </rPh>
    <phoneticPr fontId="10"/>
  </si>
  <si>
    <t>情報通信</t>
    <rPh sb="0" eb="4">
      <t>ジョウホウツウシン</t>
    </rPh>
    <phoneticPr fontId="10"/>
  </si>
  <si>
    <t>銀行  保険  証券、商品先物取引  その他金融</t>
    <phoneticPr fontId="10"/>
  </si>
  <si>
    <t>建設  不動産</t>
    <phoneticPr fontId="10"/>
  </si>
  <si>
    <t>小売  卸売  サービス</t>
    <phoneticPr fontId="10"/>
  </si>
  <si>
    <t>機械  電気機器  輸送用機器  精密機器  その他製造 食品  医薬品  化学
鉄鋼  非鉄金属  金属製品  石油・石炭製品  ゴム  窯業  繊維  パルプ・紙</t>
    <rPh sb="0" eb="2">
      <t>キカイ</t>
    </rPh>
    <rPh sb="4" eb="6">
      <t>デンキ</t>
    </rPh>
    <rPh sb="6" eb="8">
      <t>キキ</t>
    </rPh>
    <rPh sb="10" eb="13">
      <t>ユソウヨウ</t>
    </rPh>
    <rPh sb="13" eb="15">
      <t>キキ</t>
    </rPh>
    <rPh sb="17" eb="19">
      <t>セイミツ</t>
    </rPh>
    <rPh sb="19" eb="21">
      <t>キキ</t>
    </rPh>
    <rPh sb="25" eb="26">
      <t>タ</t>
    </rPh>
    <rPh sb="26" eb="28">
      <t>セイゾウ</t>
    </rPh>
    <phoneticPr fontId="10"/>
  </si>
  <si>
    <t>水産・農林  鉱業</t>
  </si>
  <si>
    <t>陸運・海運・空運  倉庫・運輸関連  電力・ガス</t>
    <phoneticPr fontId="10"/>
  </si>
  <si>
    <t>小売 卸売  サービス</t>
    <rPh sb="0" eb="2">
      <t>コウリ</t>
    </rPh>
    <phoneticPr fontId="10"/>
  </si>
  <si>
    <t>水産・農林  鉱業</t>
    <phoneticPr fontId="10"/>
  </si>
  <si>
    <t>会社数</t>
    <rPh sb="0" eb="2">
      <t>カイシャ</t>
    </rPh>
    <rPh sb="2" eb="3">
      <t>スウ</t>
    </rPh>
    <phoneticPr fontId="10"/>
  </si>
  <si>
    <t>割合</t>
    <rPh sb="0" eb="2">
      <t>ワリアイ</t>
    </rPh>
    <phoneticPr fontId="10"/>
  </si>
  <si>
    <t>機械  電気機器  輸送用機器  精密機器  その他製造 食品  医薬品  化学 鉄鋼  非鉄金属  金属製品  石油・石炭製品  ゴム  窯業  繊維  パルプ・紙</t>
    <phoneticPr fontId="10"/>
  </si>
  <si>
    <t>決算期</t>
    <rPh sb="0" eb="3">
      <t>ケッサンキ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</si>
</sst>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5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24" fillId="0" borderId="0" xfId="3" applyFill="1" applyAlignment="1" applyProtection="1">
      <alignment horizontal="left" vertical="center"/>
    </xf>
    <xf numFmtId="0" fontId="18" fillId="4" borderId="0" xfId="2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12" fillId="5" borderId="0" xfId="2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0" fontId="18" fillId="0" borderId="0" xfId="2" quotePrefix="1" applyFont="1" applyFill="1" applyAlignment="1">
      <alignment horizontal="left" vertical="center"/>
    </xf>
    <xf numFmtId="0" fontId="20" fillId="0" borderId="0" xfId="2" applyFont="1" applyFill="1" applyAlignment="1">
      <alignment horizontal="left" vertical="center" wrapText="1"/>
    </xf>
    <xf numFmtId="176" fontId="12" fillId="0" borderId="0" xfId="2" applyNumberFormat="1" applyFont="1" applyFill="1" applyAlignment="1">
      <alignment horizontal="center" vertical="center" wrapText="1"/>
    </xf>
    <xf numFmtId="0" fontId="18" fillId="5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177" fontId="12" fillId="0" borderId="0" xfId="4" applyNumberFormat="1" applyFont="1" applyFill="1" applyAlignment="1">
      <alignment horizontal="center" vertical="center"/>
    </xf>
    <xf numFmtId="0" fontId="20" fillId="0" borderId="0" xfId="2" applyFont="1" applyFill="1" applyAlignment="1">
      <alignment horizontal="center" vertical="center"/>
    </xf>
  </cellXfs>
  <cellStyles count="5">
    <cellStyle name="Normal" xfId="1" xr:uid="{00000000-0005-0000-0000-000000000000}"/>
    <cellStyle name="パーセント" xfId="4" builtinId="5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144" Type="http://schemas.openxmlformats.org/officeDocument/2006/relationships/printerSettings" Target="../printerSettings/printerSettings2.bin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hyperlink" Target="https://kotobank.jp/word/%E6%97%A5%E8%B2%BF%E4%BF%A1-172729" TargetMode="External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3353" activePane="bottomRight" state="frozen"/>
      <selection pane="topRight"/>
      <selection pane="bottomLeft"/>
      <selection pane="bottomRight" activeCell="M2" sqref="M2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4" t="s">
        <v>22616</v>
      </c>
      <c r="V2" s="29" t="s">
        <v>13672</v>
      </c>
      <c r="W2" s="23" t="s">
        <v>22621</v>
      </c>
      <c r="X2" s="29" t="s">
        <v>22622</v>
      </c>
      <c r="Y2" s="36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5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5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5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266"/>
  <sheetViews>
    <sheetView tabSelected="1" topLeftCell="B1" zoomScale="85" zoomScaleNormal="85" workbookViewId="0">
      <pane ySplit="55" topLeftCell="A56" activePane="bottomLeft" state="frozenSplit"/>
      <selection activeCell="B1" sqref="B1"/>
      <selection pane="bottomLeft" activeCell="I57" sqref="I57"/>
    </sheetView>
  </sheetViews>
  <sheetFormatPr defaultRowHeight="24" outlineLevelRow="1" outlineLevelCol="3" x14ac:dyDescent="0.15"/>
  <cols>
    <col min="1" max="1" width="120.5" style="8" hidden="1" customWidth="1" outlineLevel="1"/>
    <col min="2" max="2" width="15" style="8" bestFit="1" customWidth="1" collapsed="1"/>
    <col min="3" max="3" width="19.83203125" style="8" bestFit="1" customWidth="1"/>
    <col min="4" max="4" width="64.5" style="8" customWidth="1"/>
    <col min="5" max="5" width="38.1640625" style="33" customWidth="1" outlineLevel="2"/>
    <col min="6" max="6" width="6.1640625" style="33" customWidth="1" outlineLevel="2"/>
    <col min="7" max="7" width="28.83203125" style="33" customWidth="1" outlineLevel="2"/>
    <col min="8" max="8" width="26" style="9" hidden="1" customWidth="1" outlineLevel="3"/>
    <col min="9" max="9" width="26" style="9" customWidth="1" outlineLevel="3"/>
    <col min="10" max="10" width="33.1640625" style="8" customWidth="1" outlineLevel="2"/>
    <col min="11" max="11" width="18.83203125" style="8" customWidth="1" outlineLevel="2"/>
    <col min="12" max="12" width="44.33203125" style="8" customWidth="1" outlineLevel="1"/>
    <col min="13" max="13" width="5.1640625" style="8" hidden="1" customWidth="1" outlineLevel="2"/>
    <col min="14" max="14" width="16.33203125" style="8" bestFit="1" customWidth="1" outlineLevel="1" collapsed="1"/>
    <col min="15" max="16384" width="9.33203125" style="8"/>
  </cols>
  <sheetData>
    <row r="1" spans="1:13" ht="43.5" customHeight="1" x14ac:dyDescent="0.15">
      <c r="A1" s="12" t="s">
        <v>22580</v>
      </c>
      <c r="B1" s="12"/>
      <c r="C1" s="8" t="s">
        <v>22579</v>
      </c>
      <c r="D1" s="8" t="s">
        <v>22578</v>
      </c>
      <c r="E1" s="33" t="s">
        <v>22577</v>
      </c>
      <c r="H1" s="50" t="s">
        <v>22607</v>
      </c>
      <c r="I1" s="50" t="s">
        <v>22894</v>
      </c>
      <c r="K1" s="8" t="s">
        <v>22576</v>
      </c>
      <c r="L1" s="8" t="s">
        <v>22575</v>
      </c>
    </row>
    <row r="2" spans="1:13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3" t="str">
        <f>VLOOKUP(VALUE(LEFT(C2,2)),[1]証券コード!$A$1:$B$14,2,1)</f>
        <v>繊維・紙</v>
      </c>
      <c r="J2" s="8" t="str">
        <f>MID($A2,FIND("（",$A2)+1,FIND("、",$A2)-FIND("（",$A2)-1)</f>
        <v>1963年12月28日</v>
      </c>
      <c r="K2" s="8" t="s">
        <v>22257</v>
      </c>
      <c r="L2" s="8" t="s">
        <v>22573</v>
      </c>
    </row>
    <row r="3" spans="1:13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3" t="str">
        <f>VLOOKUP(VALUE(LEFT(C3,2)),[1]証券コード!$A$1:$B$14,2,1)</f>
        <v>自動車・輸送機</v>
      </c>
      <c r="J3" s="8" t="str">
        <f t="shared" ref="J3:J10" si="2">MID(A3,FIND("（",$A3)+1,FIND("、",$A3)-FIND("（",$A3)-1)</f>
        <v>1964年9月26日</v>
      </c>
      <c r="K3" s="8" t="s">
        <v>22257</v>
      </c>
      <c r="L3" s="8" t="s">
        <v>22567</v>
      </c>
    </row>
    <row r="4" spans="1:13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3" t="str">
        <f>VLOOKUP(VALUE(LEFT(C4,2)),[1]証券コード!$A$1:$B$14,2,1)</f>
        <v>繊維・紙</v>
      </c>
      <c r="J4" s="8" t="str">
        <f t="shared" si="2"/>
        <v>1965年6月3日</v>
      </c>
      <c r="K4" s="8" t="s">
        <v>22257</v>
      </c>
      <c r="L4" s="8" t="s">
        <v>22567</v>
      </c>
    </row>
    <row r="5" spans="1:13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3" t="str">
        <f>VLOOKUP(VALUE(LEFT(C5,2)),[1]証券コード!$A$1:$B$14,2,1)</f>
        <v>機械・電機</v>
      </c>
      <c r="J5" s="8" t="str">
        <f t="shared" si="2"/>
        <v>1965年8月6日</v>
      </c>
      <c r="K5" s="8" t="s">
        <v>22257</v>
      </c>
      <c r="L5" s="8" t="s">
        <v>22567</v>
      </c>
    </row>
    <row r="6" spans="1:13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3" t="str">
        <f>VLOOKUP(VALUE(LEFT(C6,2)),[1]証券コード!$A$1:$B$14,2,1)</f>
        <v>機械・電機</v>
      </c>
      <c r="J6" s="8" t="str">
        <f t="shared" si="2"/>
        <v>1965年12月11日</v>
      </c>
      <c r="K6" s="8" t="s">
        <v>22568</v>
      </c>
      <c r="L6" s="8" t="s">
        <v>22567</v>
      </c>
    </row>
    <row r="7" spans="1:13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3" t="str">
        <f>VLOOKUP(VALUE(LEFT(C7,2)),[1]証券コード!$A$1:$B$14,2,1)</f>
        <v>機械・電機</v>
      </c>
      <c r="J7" s="8" t="str">
        <f t="shared" si="2"/>
        <v>1967年1月4日</v>
      </c>
      <c r="K7" s="8" t="s">
        <v>22257</v>
      </c>
      <c r="L7" s="16" t="s">
        <v>22565</v>
      </c>
      <c r="M7" s="16"/>
    </row>
    <row r="8" spans="1:13" ht="48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3" t="str">
        <f>VLOOKUP(VALUE(LEFT(C8,2)),[1]証券コード!$A$1:$B$14,2,1)</f>
        <v>繊維・紙</v>
      </c>
      <c r="J8" s="8" t="str">
        <f t="shared" si="2"/>
        <v>1968年8月16日</v>
      </c>
      <c r="K8" s="8" t="s">
        <v>22439</v>
      </c>
      <c r="L8" s="15" t="s">
        <v>22563</v>
      </c>
      <c r="M8" s="15"/>
    </row>
    <row r="9" spans="1:13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3" t="str">
        <f>VLOOKUP(VALUE(LEFT(C9,2)),[1]証券コード!$A$1:$B$14,2,1)</f>
        <v>鉱業</v>
      </c>
      <c r="J9" s="8" t="str">
        <f t="shared" si="2"/>
        <v>1970年4月25日</v>
      </c>
      <c r="K9" s="8" t="s">
        <v>22561</v>
      </c>
      <c r="L9" s="14" t="s">
        <v>22401</v>
      </c>
      <c r="M9" s="14"/>
    </row>
    <row r="10" spans="1:13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3" t="str">
        <f>VLOOKUP(VALUE(LEFT(C10,2)),[1]証券コード!$A$1:$B$14,2,1)</f>
        <v>鉱業</v>
      </c>
      <c r="J10" s="8" t="str">
        <f t="shared" si="2"/>
        <v>1971年5月18日</v>
      </c>
      <c r="K10" s="8" t="s">
        <v>22559</v>
      </c>
      <c r="L10" s="14" t="s">
        <v>22401</v>
      </c>
      <c r="M10" s="14"/>
    </row>
    <row r="11" spans="1:13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3" t="str">
        <f>VLOOKUP(VALUE(LEFT(C11,2)),[1]証券コード!$A$1:$B$14,2,1)</f>
        <v>建設</v>
      </c>
      <c r="J11" s="8" t="s">
        <v>22557</v>
      </c>
      <c r="K11" s="8" t="s">
        <v>22320</v>
      </c>
      <c r="L11" s="8" t="s">
        <v>22556</v>
      </c>
    </row>
    <row r="12" spans="1:13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3" t="str">
        <f>VLOOKUP(VALUE(LEFT(C12,2)),[1]証券コード!$A$1:$B$14,2,1)</f>
        <v>鉱業</v>
      </c>
      <c r="J12" s="8" t="str">
        <f t="shared" ref="J12:J30" si="3">MID(A12,FIND("（",$A12)+1,FIND("、",$A12)-FIND("（",$A12)-1)</f>
        <v>1976年6月26日</v>
      </c>
      <c r="K12" s="8" t="s">
        <v>22320</v>
      </c>
      <c r="L12" s="8" t="s">
        <v>22554</v>
      </c>
    </row>
    <row r="13" spans="1:13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3" t="str">
        <f>VLOOKUP(VALUE(LEFT(C13,2)),[1]証券コード!$A$1:$B$14,2,1)</f>
        <v>鉱業</v>
      </c>
      <c r="J13" s="8" t="str">
        <f t="shared" si="3"/>
        <v>1978年</v>
      </c>
      <c r="K13" s="8" t="s">
        <v>22548</v>
      </c>
      <c r="L13" s="8" t="s">
        <v>22552</v>
      </c>
    </row>
    <row r="14" spans="1:13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3" t="str">
        <f>VLOOKUP(VALUE(LEFT(C14,2)),[1]証券コード!$A$1:$B$14,2,1)</f>
        <v>金融・商業・不動産</v>
      </c>
      <c r="H14" s="9">
        <v>1</v>
      </c>
      <c r="J14" s="8" t="str">
        <f t="shared" si="3"/>
        <v>1980年3月28日</v>
      </c>
      <c r="K14" s="8" t="s">
        <v>22322</v>
      </c>
      <c r="L14" s="8" t="s">
        <v>22550</v>
      </c>
    </row>
    <row r="15" spans="1:13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3" t="str">
        <f>VLOOKUP(VALUE(LEFT(C15,2)),[1]証券コード!$A$1:$B$14,2,1)</f>
        <v>自動車・輸送機</v>
      </c>
      <c r="J15" s="8" t="str">
        <f t="shared" si="3"/>
        <v>1980年10月1日</v>
      </c>
      <c r="K15" s="8" t="s">
        <v>22548</v>
      </c>
      <c r="L15" s="8" t="s">
        <v>22547</v>
      </c>
    </row>
    <row r="16" spans="1:13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3" t="str">
        <f>VLOOKUP(VALUE(LEFT(C16,2)),[1]証券コード!$A$1:$B$14,2,1)</f>
        <v>化学・薬品</v>
      </c>
      <c r="J16" s="8" t="str">
        <f t="shared" si="3"/>
        <v>1980年11月14日</v>
      </c>
      <c r="K16" s="8" t="s">
        <v>22320</v>
      </c>
      <c r="L16" s="8" t="s">
        <v>22545</v>
      </c>
    </row>
    <row r="17" spans="1:13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3" t="str">
        <f>VLOOKUP(VALUE(LEFT(C17,2)),[1]証券コード!$A$1:$B$14,2,1)</f>
        <v>自動車・輸送機</v>
      </c>
      <c r="J17" s="8" t="str">
        <f t="shared" si="3"/>
        <v>1983年2月25日</v>
      </c>
      <c r="K17" s="8" t="s">
        <v>22320</v>
      </c>
      <c r="L17" s="8" t="s">
        <v>22543</v>
      </c>
    </row>
    <row r="18" spans="1:13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3" t="str">
        <f>VLOOKUP(VALUE(LEFT(C18,2)),[1]証券コード!$A$1:$B$14,2,1)</f>
        <v>機械・電機</v>
      </c>
      <c r="J18" s="8" t="str">
        <f t="shared" si="3"/>
        <v>1983年10月2日</v>
      </c>
      <c r="K18" s="8" t="s">
        <v>22439</v>
      </c>
      <c r="L18" s="8" t="s">
        <v>22541</v>
      </c>
    </row>
    <row r="19" spans="1:13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3" t="str">
        <f>VLOOKUP(VALUE(LEFT(C19,2)),[1]証券コード!$A$1:$B$14,2,1)</f>
        <v>金融・商業・不動産</v>
      </c>
      <c r="J19" s="8" t="str">
        <f t="shared" si="3"/>
        <v>1984年6月1日</v>
      </c>
      <c r="K19" s="8" t="s">
        <v>22320</v>
      </c>
      <c r="L19" s="14" t="s">
        <v>22539</v>
      </c>
      <c r="M19" s="14"/>
    </row>
    <row r="20" spans="1:13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3" t="str">
        <f>VLOOKUP(VALUE(LEFT(C20,2)),[1]証券コード!$A$1:$B$14,2,1)</f>
        <v>自動車・輸送機</v>
      </c>
      <c r="J20" s="8" t="str">
        <f t="shared" si="3"/>
        <v>1984年6月6日</v>
      </c>
      <c r="K20" s="8" t="s">
        <v>22320</v>
      </c>
      <c r="L20" s="8" t="s">
        <v>22537</v>
      </c>
    </row>
    <row r="21" spans="1:13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3" t="str">
        <f>VLOOKUP(VALUE(LEFT(C21,2)),[1]証券コード!$A$1:$B$14,2,1)</f>
        <v>機械・電機</v>
      </c>
      <c r="J21" s="8" t="str">
        <f t="shared" si="3"/>
        <v>1984年10月24日</v>
      </c>
      <c r="K21" s="8" t="s">
        <v>22320</v>
      </c>
      <c r="L21" s="8" t="s">
        <v>22535</v>
      </c>
    </row>
    <row r="22" spans="1:13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3" t="str">
        <f>VLOOKUP(VALUE(LEFT(C22,2)),[1]証券コード!$A$1:$B$14,2,1)</f>
        <v>運輸・通信・電気・ガス・サービス</v>
      </c>
      <c r="J22" s="8" t="str">
        <f t="shared" si="3"/>
        <v>1985年11月14日</v>
      </c>
      <c r="K22" s="8" t="s">
        <v>22320</v>
      </c>
      <c r="L22" s="8" t="s">
        <v>22533</v>
      </c>
    </row>
    <row r="23" spans="1:13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3" t="str">
        <f>VLOOKUP(VALUE(LEFT(C23,2)),[1]証券コード!$A$1:$B$14,2,1)</f>
        <v>金融・商業・不動産</v>
      </c>
      <c r="J23" s="8" t="str">
        <f t="shared" si="3"/>
        <v>1992年8月11日</v>
      </c>
      <c r="K23" s="8" t="s">
        <v>22320</v>
      </c>
      <c r="L23" s="8" t="s">
        <v>22531</v>
      </c>
    </row>
    <row r="24" spans="1:13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3" t="str">
        <f>VLOOKUP(VALUE(LEFT(C24,2)),[1]証券コード!$A$1:$B$14,2,1)</f>
        <v>金融・商業・不動産</v>
      </c>
      <c r="J24" s="8" t="str">
        <f t="shared" si="3"/>
        <v>1993年3月25日</v>
      </c>
      <c r="K24" s="8" t="s">
        <v>22529</v>
      </c>
      <c r="L24" s="8" t="s">
        <v>22528</v>
      </c>
    </row>
    <row r="25" spans="1:13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3" t="str">
        <f>VLOOKUP(VALUE(LEFT(C25,2)),[1]証券コード!$A$1:$B$14,2,1)</f>
        <v>運輸・通信・電気・ガス・サービス</v>
      </c>
      <c r="J25" s="8" t="str">
        <f t="shared" si="3"/>
        <v>1993年10月2日</v>
      </c>
      <c r="K25" s="8" t="s">
        <v>22320</v>
      </c>
      <c r="L25" s="8" t="s">
        <v>22526</v>
      </c>
    </row>
    <row r="26" spans="1:13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3" t="str">
        <f>VLOOKUP(VALUE(LEFT(C26,2)),[1]証券コード!$A$1:$B$14,2,1)</f>
        <v>化学・薬品</v>
      </c>
      <c r="J26" s="8" t="str">
        <f t="shared" si="3"/>
        <v>1995年8月15日</v>
      </c>
      <c r="K26" s="8" t="s">
        <v>22320</v>
      </c>
      <c r="L26" s="8" t="s">
        <v>22524</v>
      </c>
    </row>
    <row r="27" spans="1:13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3" t="str">
        <f>VLOOKUP(VALUE(LEFT(C27,2)),[1]証券コード!$A$1:$B$14,2,1)</f>
        <v>金融・商業・不動産</v>
      </c>
      <c r="H27" s="9">
        <v>1</v>
      </c>
      <c r="J27" s="8" t="str">
        <f t="shared" si="3"/>
        <v>1996年1月29日</v>
      </c>
      <c r="K27" s="8" t="s">
        <v>22522</v>
      </c>
      <c r="L27" s="8" t="s">
        <v>22521</v>
      </c>
    </row>
    <row r="28" spans="1:13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3" t="str">
        <f>VLOOKUP(VALUE(LEFT(C28,2)),[1]証券コード!$A$1:$B$14,2,1)</f>
        <v>金融・商業・不動産</v>
      </c>
      <c r="H28" s="9">
        <v>1</v>
      </c>
      <c r="J28" s="8" t="str">
        <f t="shared" si="3"/>
        <v>1996年8月31日</v>
      </c>
      <c r="K28" s="8" t="s">
        <v>22481</v>
      </c>
      <c r="L28" s="8" t="s">
        <v>22519</v>
      </c>
    </row>
    <row r="29" spans="1:13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3" t="str">
        <f>VLOOKUP(VALUE(LEFT(C29,2)),[1]証券コード!$A$1:$B$14,2,1)</f>
        <v>金融・商業・不動産</v>
      </c>
      <c r="H29" s="9">
        <v>1</v>
      </c>
      <c r="J29" s="8" t="str">
        <f t="shared" si="3"/>
        <v>1996年9月17日</v>
      </c>
      <c r="K29" s="8" t="s">
        <v>22481</v>
      </c>
      <c r="L29" s="8" t="s">
        <v>22517</v>
      </c>
    </row>
    <row r="30" spans="1:13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3" t="str">
        <f>VLOOKUP(VALUE(LEFT(C30,2)),[1]証券コード!$A$1:$B$14,2,1)</f>
        <v>金融・商業・不動産</v>
      </c>
      <c r="J30" s="8" t="str">
        <f t="shared" si="3"/>
        <v>1997年3月23日</v>
      </c>
      <c r="K30" s="8" t="s">
        <v>22320</v>
      </c>
      <c r="L30" s="8" t="s">
        <v>22515</v>
      </c>
    </row>
    <row r="31" spans="1:13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3" t="str">
        <f>VLOOKUP(VALUE(LEFT(C31,2)),[1]証券コード!$A$1:$B$14,2,1)</f>
        <v>運輸・通信・電気・ガス・サービス</v>
      </c>
      <c r="J31" s="13">
        <v>35556</v>
      </c>
      <c r="K31" s="8" t="s">
        <v>22513</v>
      </c>
    </row>
    <row r="32" spans="1:13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3" t="str">
        <f>VLOOKUP(VALUE(LEFT(C32,2)),[1]証券コード!$A$1:$B$14,2,1)</f>
        <v>運輸・通信・電気・ガス・サービス</v>
      </c>
      <c r="J32" s="8" t="str">
        <f>MID(A32,FIND("（",$A32)+1,FIND("、",$A32)-FIND("（",$A32)-1)</f>
        <v>1997年9月29日</v>
      </c>
      <c r="K32" s="8" t="s">
        <v>22511</v>
      </c>
    </row>
    <row r="33" spans="1:11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3" t="str">
        <f>VLOOKUP(VALUE(LEFT(C33,2)),[1]証券コード!$A$1:$B$14,2,1)</f>
        <v>建設</v>
      </c>
      <c r="J33" s="8" t="str">
        <f>MID(A33,FIND("（",$A33)+1,FIND("、",$A33)-FIND("（",$A33)-1)</f>
        <v>1997年10月16日</v>
      </c>
      <c r="K33" s="8" t="s">
        <v>22320</v>
      </c>
    </row>
    <row r="34" spans="1:11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3" t="str">
        <f>VLOOKUP(VALUE(LEFT(C34,2)),[1]証券コード!$A$1:$B$14,2,1)</f>
        <v>建設</v>
      </c>
      <c r="J34" s="8" t="str">
        <f>MID(A34,FIND("（",$A34)+1,FIND("、",$A34)-FIND("（",$A34)-1)</f>
        <v>1997年10月31日</v>
      </c>
      <c r="K34" s="8" t="s">
        <v>22320</v>
      </c>
    </row>
    <row r="35" spans="1:11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3" t="str">
        <f>VLOOKUP(VALUE(LEFT(C35,2)),[1]証券コード!$A$1:$B$14,2,1)</f>
        <v>建設</v>
      </c>
      <c r="J35" s="8" t="str">
        <f>MID(A35,FIND("（",$A35)+1,FIND("、",$A35)-FIND("（",$A35)-1)</f>
        <v>1997年11月20日</v>
      </c>
      <c r="K35" s="8" t="s">
        <v>22320</v>
      </c>
    </row>
    <row r="36" spans="1:11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3" t="str">
        <f>VLOOKUP(VALUE(LEFT(C36,2)),[1]証券コード!$A$1:$B$14,2,1)</f>
        <v>金融・商業・不動産</v>
      </c>
      <c r="H36" s="9">
        <v>1</v>
      </c>
      <c r="J36" s="13">
        <v>35783</v>
      </c>
      <c r="K36" s="8" t="s">
        <v>22257</v>
      </c>
    </row>
    <row r="37" spans="1:11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3" t="str">
        <f>VLOOKUP(VALUE(LEFT(C37,2)),[1]証券コード!$A$1:$B$14,2,1)</f>
        <v>金融・商業・不動産</v>
      </c>
      <c r="J37" s="8" t="str">
        <f t="shared" ref="J37:J45" si="6">MID(A37,FIND("（",$A37)+1,FIND("、",$A37)-FIND("（",$A37)-1)</f>
        <v>1998年2月4日</v>
      </c>
      <c r="K37" s="8" t="s">
        <v>22505</v>
      </c>
    </row>
    <row r="38" spans="1:11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3" t="str">
        <f>VLOOKUP(VALUE(LEFT(C38,2)),[1]証券コード!$A$1:$B$14,2,1)</f>
        <v>資源・素材</v>
      </c>
      <c r="J38" s="8" t="str">
        <f t="shared" si="6"/>
        <v>1998年3月3日</v>
      </c>
      <c r="K38" s="8" t="s">
        <v>22503</v>
      </c>
    </row>
    <row r="39" spans="1:11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3" t="str">
        <f>VLOOKUP(VALUE(LEFT(C39,2)),[1]証券コード!$A$1:$B$14,2,1)</f>
        <v>金融・商業・不動産</v>
      </c>
      <c r="J39" s="8" t="str">
        <f t="shared" si="6"/>
        <v>1998年3月19日</v>
      </c>
      <c r="K39" s="8" t="s">
        <v>22320</v>
      </c>
    </row>
    <row r="40" spans="1:11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3" t="str">
        <f>VLOOKUP(VALUE(LEFT(C40,2)),[1]証券コード!$A$1:$B$14,2,1)</f>
        <v>金融・商業・不動産</v>
      </c>
      <c r="J40" s="8" t="str">
        <f t="shared" si="6"/>
        <v>1998年3月27日</v>
      </c>
      <c r="K40" s="8" t="s">
        <v>22500</v>
      </c>
    </row>
    <row r="41" spans="1:11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3" t="str">
        <f>VLOOKUP(VALUE(LEFT(C41,2)),[1]証券コード!$A$1:$B$14,2,1)</f>
        <v>金融・商業・不動産</v>
      </c>
      <c r="H41" s="9">
        <v>1</v>
      </c>
      <c r="J41" s="8" t="str">
        <f t="shared" si="6"/>
        <v>1998年6月17日</v>
      </c>
      <c r="K41" s="8" t="s">
        <v>22496</v>
      </c>
    </row>
    <row r="42" spans="1:11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3" t="str">
        <f>VLOOKUP(VALUE(LEFT(C42,2)),[1]証券コード!$A$1:$B$14,2,1)</f>
        <v>金融・商業・不動産</v>
      </c>
      <c r="J42" s="8" t="str">
        <f t="shared" si="6"/>
        <v>1998年8月22日</v>
      </c>
      <c r="K42" s="8" t="s">
        <v>22291</v>
      </c>
    </row>
    <row r="43" spans="1:11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3" t="str">
        <f>VLOOKUP(VALUE(LEFT(C43,2)),[1]証券コード!$A$1:$B$14,2,1)</f>
        <v>金融・商業・不動産</v>
      </c>
      <c r="H43" s="9">
        <v>1</v>
      </c>
      <c r="J43" s="8" t="str">
        <f t="shared" si="6"/>
        <v>1998年8月27日</v>
      </c>
      <c r="K43" s="8" t="s">
        <v>22496</v>
      </c>
    </row>
    <row r="44" spans="1:11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3" t="str">
        <f>VLOOKUP(VALUE(LEFT(C44,2)),[1]証券コード!$A$1:$B$14,2,1)</f>
        <v>運輸・通信・電気・ガス・サービス</v>
      </c>
      <c r="J44" s="8" t="str">
        <f t="shared" si="6"/>
        <v>1998年9月5日</v>
      </c>
      <c r="K44" s="8" t="s">
        <v>22320</v>
      </c>
    </row>
    <row r="45" spans="1:11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3" t="str">
        <f>VLOOKUP(VALUE(LEFT(C45,2)),[1]証券コード!$A$1:$B$14,2,1)</f>
        <v>資源・素材</v>
      </c>
      <c r="J45" s="8" t="str">
        <f t="shared" si="6"/>
        <v>1998年10月3日</v>
      </c>
      <c r="K45" s="8" t="s">
        <v>22291</v>
      </c>
    </row>
    <row r="46" spans="1:11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3" t="str">
        <f>VLOOKUP(VALUE(LEFT(C46,2)),[1]証券コード!$A$1:$B$14,2,1)</f>
        <v>金融・商業・不動産</v>
      </c>
      <c r="H46" s="9">
        <v>1</v>
      </c>
      <c r="J46" s="13">
        <v>36092</v>
      </c>
      <c r="K46" s="8" t="s">
        <v>22491</v>
      </c>
    </row>
    <row r="47" spans="1:11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3" t="str">
        <f>VLOOKUP(VALUE(LEFT(C47,2)),[1]証券コード!$A$1:$B$14,2,1)</f>
        <v>金融・商業・不動産</v>
      </c>
      <c r="H47" s="9">
        <v>1</v>
      </c>
      <c r="J47" s="13">
        <v>36143</v>
      </c>
      <c r="K47" s="8" t="s">
        <v>22491</v>
      </c>
    </row>
    <row r="48" spans="1:11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3" t="str">
        <f>VLOOKUP(VALUE(LEFT(C48,2)),[1]証券コード!$A$1:$B$14,2,1)</f>
        <v>建設</v>
      </c>
      <c r="J48" s="8" t="str">
        <f t="shared" ref="J48:J55" si="7">MID(A48,FIND("（",$A48)+1,FIND("、",$A48)-FIND("（",$A48)-1)</f>
        <v>1999年3月2日</v>
      </c>
      <c r="K48" s="8" t="s">
        <v>22320</v>
      </c>
    </row>
    <row r="49" spans="1:15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3" t="str">
        <f>VLOOKUP(VALUE(LEFT(C49,2)),[1]証券コード!$A$1:$B$14,2,1)</f>
        <v>資源・素材</v>
      </c>
      <c r="J49" s="8" t="str">
        <f t="shared" si="7"/>
        <v>1999年4月1日</v>
      </c>
      <c r="K49" s="8" t="s">
        <v>22481</v>
      </c>
    </row>
    <row r="50" spans="1:15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3" t="str">
        <f>VLOOKUP(VALUE(LEFT(C50,2)),[1]証券コード!$A$1:$B$14,2,1)</f>
        <v>機械・電機</v>
      </c>
      <c r="J50" s="8" t="str">
        <f t="shared" si="7"/>
        <v>1999年7月12日</v>
      </c>
      <c r="K50" s="8" t="s">
        <v>22320</v>
      </c>
    </row>
    <row r="51" spans="1:15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3" t="str">
        <f>VLOOKUP(VALUE(LEFT(C51,2)),[1]証券コード!$A$1:$B$14,2,1)</f>
        <v>資源・素材</v>
      </c>
      <c r="J51" s="8" t="str">
        <f t="shared" si="7"/>
        <v>1999年7月27日</v>
      </c>
      <c r="K51" s="8" t="s">
        <v>22320</v>
      </c>
    </row>
    <row r="52" spans="1:15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3" t="str">
        <f>VLOOKUP(VALUE(LEFT(C52,2)),[1]証券コード!$A$1:$B$14,2,1)</f>
        <v>金融・商業・不動産</v>
      </c>
      <c r="J52" s="8" t="str">
        <f t="shared" si="7"/>
        <v>1999年10月13日</v>
      </c>
      <c r="K52" s="8" t="s">
        <v>22401</v>
      </c>
    </row>
    <row r="53" spans="1:15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3" t="str">
        <f>VLOOKUP(VALUE(LEFT(C53,2)),[1]証券コード!$A$1:$B$14,2,1)</f>
        <v>資源・素材</v>
      </c>
      <c r="J53" s="8" t="str">
        <f t="shared" si="7"/>
        <v>1999年10月20日</v>
      </c>
      <c r="K53" s="8" t="s">
        <v>22484</v>
      </c>
    </row>
    <row r="54" spans="1:15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3" t="str">
        <f>VLOOKUP(VALUE(LEFT(C54,2)),[1]証券コード!$A$1:$B$14,2,1)</f>
        <v>金融・商業・不動産</v>
      </c>
      <c r="H54" s="9">
        <v>1</v>
      </c>
      <c r="J54" s="8" t="str">
        <f t="shared" si="7"/>
        <v>1999年11月8日</v>
      </c>
      <c r="K54" s="8" t="s">
        <v>22481</v>
      </c>
    </row>
    <row r="55" spans="1:15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3" t="str">
        <f>VLOOKUP(VALUE(LEFT(C55,2)),[1]証券コード!$A$1:$B$14,2,1)</f>
        <v>金融・商業・不動産</v>
      </c>
      <c r="H55" s="9">
        <v>1</v>
      </c>
      <c r="J55" s="8" t="str">
        <f t="shared" si="7"/>
        <v>1999年12月30日</v>
      </c>
      <c r="K55" s="8" t="s">
        <v>22481</v>
      </c>
    </row>
    <row r="56" spans="1:15" collapsed="1" x14ac:dyDescent="0.15">
      <c r="A56" s="12" t="s">
        <v>22480</v>
      </c>
      <c r="B56" s="12" t="s">
        <v>22479</v>
      </c>
      <c r="F56" s="33" t="s">
        <v>22701</v>
      </c>
    </row>
    <row r="57" spans="1:15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3" t="str">
        <f>VLOOKUP(VALUE(LEFT(C57,2)),[1]証券コード!$A$1:$B$14,2,1)</f>
        <v>金融・商業・不動産</v>
      </c>
      <c r="F57" s="33" t="s">
        <v>22702</v>
      </c>
      <c r="G57" s="33" t="s">
        <v>22663</v>
      </c>
      <c r="J57" s="8" t="str">
        <f t="shared" ref="J57:J65" si="9">MID(A57,FIND("（",$A57)+1,FIND("、",$A57)-FIND("（",$A57)-1)</f>
        <v>2000年5月14日</v>
      </c>
      <c r="K57" s="8" t="s">
        <v>22320</v>
      </c>
      <c r="L57" s="8" t="s">
        <v>22583</v>
      </c>
      <c r="M57" s="8" t="str">
        <f>VLOOKUP(D57,NKcode!$B$9:$C$6121,2,FALSE)</f>
        <v>0001675</v>
      </c>
      <c r="N57" s="8" t="str">
        <f>CONCATENATE("N",M57)</f>
        <v>N0001675</v>
      </c>
      <c r="O57" s="43" t="s">
        <v>22712</v>
      </c>
    </row>
    <row r="58" spans="1:15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3" t="str">
        <f>VLOOKUP(VALUE(LEFT(C58,2)),[1]証券コード!$A$1:$B$14,2,1)</f>
        <v>金融・商業・不動産</v>
      </c>
      <c r="F58" s="33" t="s">
        <v>22703</v>
      </c>
      <c r="G58" s="33" t="s">
        <v>22664</v>
      </c>
      <c r="J58" s="8" t="str">
        <f t="shared" si="9"/>
        <v>2000年5月15日</v>
      </c>
      <c r="K58" s="8" t="s">
        <v>22320</v>
      </c>
      <c r="L58" s="8" t="s">
        <v>22585</v>
      </c>
      <c r="M58" s="20" t="s">
        <v>22648</v>
      </c>
      <c r="N58" s="8" t="str">
        <f t="shared" ref="N58:N119" si="10">CONCATENATE("N",M58)</f>
        <v>N0001813</v>
      </c>
    </row>
    <row r="59" spans="1:15" s="18" customFormat="1" x14ac:dyDescent="0.15">
      <c r="A59" s="8" t="s">
        <v>22476</v>
      </c>
      <c r="B59" s="8"/>
      <c r="C59" s="8" t="str">
        <f t="shared" si="8"/>
        <v>6953</v>
      </c>
      <c r="D59" s="45" t="s">
        <v>22586</v>
      </c>
      <c r="E59" s="33" t="str">
        <f>VLOOKUP(VALUE(LEFT(C59,2)),[1]証券コード!$A$1:$B$14,2,1)</f>
        <v>機械・電機</v>
      </c>
      <c r="F59" s="33" t="s">
        <v>22702</v>
      </c>
      <c r="G59" s="33" t="s">
        <v>22710</v>
      </c>
      <c r="H59" s="9">
        <v>1</v>
      </c>
      <c r="I59" s="9"/>
      <c r="J59" s="8" t="str">
        <f t="shared" si="9"/>
        <v>2000年6月30日</v>
      </c>
      <c r="K59" s="8" t="s">
        <v>22325</v>
      </c>
      <c r="L59" s="8" t="s">
        <v>22709</v>
      </c>
      <c r="M59" s="8"/>
      <c r="N59" s="8"/>
      <c r="O59" s="43" t="s">
        <v>22713</v>
      </c>
    </row>
    <row r="60" spans="1:15" x14ac:dyDescent="0.15">
      <c r="A60" s="8" t="s">
        <v>22475</v>
      </c>
      <c r="C60" s="8" t="str">
        <f t="shared" si="8"/>
        <v>5443</v>
      </c>
      <c r="D60" s="40" t="str">
        <f t="shared" ref="D60:D66" si="11">LEFT(A60,FIND("（",A60)-1)</f>
        <v>東洋製鋼</v>
      </c>
      <c r="E60" s="33" t="str">
        <f>VLOOKUP(VALUE(LEFT(C60,2)),[1]証券コード!$A$1:$B$14,2,1)</f>
        <v>資源・素材</v>
      </c>
      <c r="F60" s="33" t="s">
        <v>22703</v>
      </c>
      <c r="G60" s="33" t="s">
        <v>22665</v>
      </c>
      <c r="J60" s="8" t="str">
        <f t="shared" si="9"/>
        <v>2000年7月15日</v>
      </c>
      <c r="K60" s="8" t="s">
        <v>22252</v>
      </c>
      <c r="M60" s="8" t="str">
        <f>VLOOKUP(D60,NKcode!$B$9:$C$6121,2,FALSE)</f>
        <v>0000872</v>
      </c>
      <c r="N60" s="8" t="str">
        <f t="shared" si="10"/>
        <v>N0000872</v>
      </c>
    </row>
    <row r="61" spans="1:15" x14ac:dyDescent="0.15">
      <c r="A61" s="8" t="s">
        <v>22474</v>
      </c>
      <c r="C61" s="8" t="str">
        <f t="shared" si="8"/>
        <v>8582</v>
      </c>
      <c r="D61" s="8" t="str">
        <f>LEFT(A61,FIND("（",A61)-1)</f>
        <v>日貿信</v>
      </c>
      <c r="E61" s="33" t="str">
        <f>VLOOKUP(VALUE(LEFT(C61,2)),[1]証券コード!$A$1:$B$14,2,1)</f>
        <v>金融・商業・不動産</v>
      </c>
      <c r="F61" s="33" t="s">
        <v>22702</v>
      </c>
      <c r="G61" s="33" t="s">
        <v>22666</v>
      </c>
      <c r="J61" s="8" t="str">
        <f t="shared" si="9"/>
        <v>2000年7月26日</v>
      </c>
      <c r="K61" s="8" t="s">
        <v>22252</v>
      </c>
      <c r="M61" s="8" t="str">
        <f>VLOOKUP(D61,NKcode!$B$9:$C$6121,2,FALSE)</f>
        <v>0001739</v>
      </c>
      <c r="N61" s="8" t="str">
        <f t="shared" si="10"/>
        <v>N0001739</v>
      </c>
      <c r="O61" s="43" t="s">
        <v>22854</v>
      </c>
    </row>
    <row r="62" spans="1:15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3" t="str">
        <f>VLOOKUP(VALUE(LEFT(C62,2)),[1]証券コード!$A$1:$B$14,2,1)</f>
        <v>金融・商業・不動産</v>
      </c>
      <c r="F62" s="33" t="s">
        <v>22702</v>
      </c>
      <c r="G62" s="33" t="s">
        <v>22666</v>
      </c>
      <c r="J62" s="8" t="str">
        <f t="shared" si="9"/>
        <v>2000年8月20日</v>
      </c>
      <c r="K62" s="8" t="s">
        <v>22320</v>
      </c>
      <c r="M62" s="8" t="str">
        <f>VLOOKUP(D62,NKcode!$B$9:$C$6121,2,FALSE)</f>
        <v>0001731</v>
      </c>
      <c r="N62" s="8" t="str">
        <f t="shared" si="10"/>
        <v>N0001731</v>
      </c>
      <c r="O62" s="43" t="s">
        <v>22714</v>
      </c>
    </row>
    <row r="63" spans="1:15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3" t="str">
        <f>VLOOKUP(VALUE(LEFT(C63,2)),[1]証券コード!$A$1:$B$14,2,1)</f>
        <v>運輸・通信・電気・ガス・サービス</v>
      </c>
      <c r="F63" s="33" t="s">
        <v>22702</v>
      </c>
      <c r="G63" s="33" t="s">
        <v>22667</v>
      </c>
      <c r="J63" s="8" t="str">
        <f t="shared" si="9"/>
        <v>2000年8月27日</v>
      </c>
      <c r="K63" s="8" t="s">
        <v>22320</v>
      </c>
      <c r="M63" s="8" t="str">
        <f>VLOOKUP(D63,NKcode!$B$9:$C$6121,2,FALSE)</f>
        <v>0002095</v>
      </c>
      <c r="N63" s="8" t="str">
        <f t="shared" si="10"/>
        <v>N0002095</v>
      </c>
      <c r="O63" s="43" t="s">
        <v>22716</v>
      </c>
    </row>
    <row r="64" spans="1:15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3" t="str">
        <f>VLOOKUP(VALUE(LEFT(C64,2)),[1]証券コード!$A$1:$B$14,2,1)</f>
        <v>金融・商業・不動産</v>
      </c>
      <c r="F64" s="33" t="s">
        <v>22702</v>
      </c>
      <c r="G64" s="33" t="s">
        <v>22663</v>
      </c>
      <c r="J64" s="8" t="str">
        <f t="shared" si="9"/>
        <v>2000年10月10日</v>
      </c>
      <c r="K64" s="8" t="s">
        <v>22252</v>
      </c>
      <c r="M64" s="8" t="str">
        <f>VLOOKUP(D64,NKcode!$B$9:$C$6121,2,FALSE)</f>
        <v>0001662</v>
      </c>
      <c r="N64" s="8" t="str">
        <f t="shared" si="10"/>
        <v>N0001662</v>
      </c>
      <c r="O64" s="43" t="s">
        <v>22715</v>
      </c>
    </row>
    <row r="65" spans="1:15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3" t="str">
        <f>VLOOKUP(VALUE(LEFT(C65,2)),[1]証券コード!$A$1:$B$14,2,1)</f>
        <v>金融・商業・不動産</v>
      </c>
      <c r="F65" s="33" t="s">
        <v>22702</v>
      </c>
      <c r="G65" s="33" t="s">
        <v>22668</v>
      </c>
      <c r="J65" s="8" t="str">
        <f t="shared" si="9"/>
        <v>2000年12月26日</v>
      </c>
      <c r="K65" s="8" t="s">
        <v>22252</v>
      </c>
      <c r="M65" s="8" t="str">
        <f>VLOOKUP(D65,NKcode!$B$9:$C$6121,2,FALSE)</f>
        <v>0001649</v>
      </c>
      <c r="N65" s="8" t="str">
        <f t="shared" si="10"/>
        <v>N0001649</v>
      </c>
      <c r="O65" s="43" t="s">
        <v>22711</v>
      </c>
    </row>
    <row r="66" spans="1:15" x14ac:dyDescent="0.15">
      <c r="A66" s="8" t="s">
        <v>22469</v>
      </c>
      <c r="C66" s="8" t="str">
        <f t="shared" si="8"/>
        <v>6648</v>
      </c>
      <c r="D66" s="40" t="str">
        <f t="shared" si="11"/>
        <v>川崎電気</v>
      </c>
      <c r="E66" s="33" t="str">
        <f>VLOOKUP(VALUE(LEFT(C66,2)),[1]証券コード!$A$1:$B$14,2,1)</f>
        <v>機械・電機</v>
      </c>
      <c r="F66" s="33" t="s">
        <v>22703</v>
      </c>
      <c r="G66" s="33" t="s">
        <v>22669</v>
      </c>
      <c r="J66" s="13">
        <v>36890</v>
      </c>
      <c r="K66" s="8" t="s">
        <v>22252</v>
      </c>
      <c r="L66" s="8" t="s">
        <v>22587</v>
      </c>
      <c r="M66" s="8" t="s">
        <v>3857</v>
      </c>
      <c r="N66" s="8" t="str">
        <f t="shared" si="10"/>
        <v>N0001188</v>
      </c>
    </row>
    <row r="67" spans="1:15" x14ac:dyDescent="0.15">
      <c r="B67" s="12" t="s">
        <v>22468</v>
      </c>
    </row>
    <row r="68" spans="1:15" x14ac:dyDescent="0.15">
      <c r="A68" s="8" t="s">
        <v>22467</v>
      </c>
      <c r="C68" s="8" t="str">
        <f>MID(A68,FIND("）",A68)-4,4)</f>
        <v>6802</v>
      </c>
      <c r="D68" s="40" t="str">
        <f>LEFT(A68,FIND("（",A68)-1)</f>
        <v>赤井電機</v>
      </c>
      <c r="E68" s="33" t="str">
        <f>VLOOKUP(VALUE(LEFT(C68,2)),[1]証券コード!$A$1:$B$14,2,1)</f>
        <v>機械・電機</v>
      </c>
      <c r="F68" s="33" t="s">
        <v>22702</v>
      </c>
      <c r="G68" s="33" t="s">
        <v>22669</v>
      </c>
      <c r="J68" s="8" t="str">
        <f>MID(A68,FIND("（",$A68)+1,FIND("、",$A68)-FIND("（",$A68)-1)</f>
        <v>2001年2月3日</v>
      </c>
      <c r="K68" s="8" t="s">
        <v>22252</v>
      </c>
      <c r="M68" s="8" t="str">
        <f>VLOOKUP(D68,NKcode!$B$9:$C$6121,2,FALSE)</f>
        <v>0001245</v>
      </c>
      <c r="N68" s="8" t="str">
        <f t="shared" si="10"/>
        <v>N0001245</v>
      </c>
      <c r="O68" s="43" t="s">
        <v>22717</v>
      </c>
    </row>
    <row r="69" spans="1:15" x14ac:dyDescent="0.15">
      <c r="A69" s="8" t="s">
        <v>22593</v>
      </c>
      <c r="C69" s="8" t="str">
        <f>MID(A69,FIND("）",A69)-4,4)</f>
        <v>7104</v>
      </c>
      <c r="D69" s="40" t="str">
        <f>LEFT(A69,FIND("（",A69)-1)</f>
        <v>富士車両</v>
      </c>
      <c r="E69" s="33" t="str">
        <f>VLOOKUP(VALUE(LEFT(C69,2)),[1]証券コード!$A$1:$B$14,2,1)</f>
        <v>自動車・輸送機</v>
      </c>
      <c r="F69" s="33" t="s">
        <v>22702</v>
      </c>
      <c r="G69" s="33" t="s">
        <v>22670</v>
      </c>
      <c r="J69" s="8" t="str">
        <f>MID(A69,FIND("（",$A69)+1,FIND("、",$A69)-FIND("（",$A69)-1)</f>
        <v>2001年5月24日</v>
      </c>
      <c r="K69" s="8" t="s">
        <v>22252</v>
      </c>
      <c r="M69" s="8" t="str">
        <f>VLOOKUP(D69,NKcode!$B$9:$C$6121,2,FALSE)</f>
        <v>0001413</v>
      </c>
      <c r="N69" s="8" t="str">
        <f t="shared" si="10"/>
        <v>N0001413</v>
      </c>
      <c r="O69" s="43" t="s">
        <v>22718</v>
      </c>
    </row>
    <row r="70" spans="1:15" x14ac:dyDescent="0.15">
      <c r="A70" s="8" t="s">
        <v>22466</v>
      </c>
      <c r="C70" s="8" t="str">
        <f>MID(A70,FIND("）",A70)-4,4)</f>
        <v>6102</v>
      </c>
      <c r="D70" s="40" t="str">
        <f>LEFT(A70,FIND("（",A70)-1)</f>
        <v>池貝</v>
      </c>
      <c r="E70" s="33" t="str">
        <f>VLOOKUP(VALUE(LEFT(C70,2)),[1]証券コード!$A$1:$B$14,2,1)</f>
        <v>機械・電機</v>
      </c>
      <c r="F70" s="33" t="s">
        <v>22702</v>
      </c>
      <c r="G70" s="33" t="s">
        <v>22671</v>
      </c>
      <c r="J70" s="8" t="str">
        <f>MID(A70,FIND("（",$A70)+1,FIND("、",$A70)-FIND("（",$A70)-1)</f>
        <v>2001年6月1日</v>
      </c>
      <c r="K70" s="8" t="s">
        <v>22252</v>
      </c>
      <c r="M70" s="8" t="str">
        <f>VLOOKUP(D70,NKcode!$B$9:$C$6121,2,FALSE)</f>
        <v>0000992</v>
      </c>
      <c r="N70" s="8" t="str">
        <f t="shared" si="10"/>
        <v>N0000992</v>
      </c>
      <c r="O70" s="43" t="s">
        <v>22719</v>
      </c>
    </row>
    <row r="71" spans="1:15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3" t="str">
        <f>VLOOKUP(VALUE(LEFT(C71,2)),[1]証券コード!$A$1:$B$14,2,1)</f>
        <v>建設</v>
      </c>
      <c r="F71" s="33" t="s">
        <v>22702</v>
      </c>
      <c r="G71" s="33" t="s">
        <v>22672</v>
      </c>
      <c r="J71" s="8" t="str">
        <f>MID(A71,FIND("（",$A71)+1,FIND("、",$A71)-FIND("（",$A71)-1)</f>
        <v>2001年6月24日</v>
      </c>
      <c r="K71" s="8" t="s">
        <v>22252</v>
      </c>
      <c r="M71" s="8" t="str">
        <f>VLOOKUP(D71,NKcode!$B$9:$C$6121,2,FALSE)</f>
        <v>0000068</v>
      </c>
      <c r="N71" s="8" t="str">
        <f t="shared" si="10"/>
        <v>N0000068</v>
      </c>
      <c r="O71" s="43" t="s">
        <v>22720</v>
      </c>
    </row>
    <row r="72" spans="1:15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3" t="str">
        <f>VLOOKUP(VALUE(LEFT(C72,2)),[1]証券コード!$A$1:$B$14,2,1)</f>
        <v>金融・商業・不動産</v>
      </c>
      <c r="F72" s="33" t="s">
        <v>22702</v>
      </c>
      <c r="G72" s="33" t="s">
        <v>22663</v>
      </c>
      <c r="J72" s="8" t="str">
        <f>MID(A72,FIND("（",$A72)+1,FIND("、",$A72)-FIND("（",$A72)-1)</f>
        <v>2001年12月15日</v>
      </c>
      <c r="K72" s="8" t="s">
        <v>22252</v>
      </c>
      <c r="M72" s="8" t="str">
        <f>VLOOKUP(D72,NKcode!$B$9:$C$6121,2,FALSE)</f>
        <v>0001684</v>
      </c>
      <c r="N72" s="8" t="str">
        <f t="shared" si="10"/>
        <v>N0001684</v>
      </c>
      <c r="O72" s="43" t="s">
        <v>22721</v>
      </c>
    </row>
    <row r="73" spans="1:15" x14ac:dyDescent="0.15">
      <c r="B73" s="12" t="s">
        <v>22463</v>
      </c>
    </row>
    <row r="74" spans="1:15" x14ac:dyDescent="0.15">
      <c r="A74" s="8" t="s">
        <v>22462</v>
      </c>
      <c r="C74" s="8" t="str">
        <f t="shared" ref="C74:C95" si="12">MID(A74,FIND("）",A74)-4,4)</f>
        <v>6851</v>
      </c>
      <c r="D74" s="40" t="str">
        <f t="shared" ref="D74:D95" si="13">LEFT(A74,FIND("（",A74)-1)</f>
        <v>大倉電気</v>
      </c>
      <c r="E74" s="33" t="str">
        <f>VLOOKUP(VALUE(LEFT(C74,2)),[1]証券コード!$A$1:$B$14,2,1)</f>
        <v>機械・電機</v>
      </c>
      <c r="F74" s="33" t="s">
        <v>22702</v>
      </c>
      <c r="G74" s="33" t="s">
        <v>22669</v>
      </c>
      <c r="J74" s="8" t="str">
        <f t="shared" ref="J74:J95" si="14">MID(A74,FIND("（",$A74)+1,FIND("、",$A74)-FIND("（",$A74)-1)</f>
        <v>2002年1月30日</v>
      </c>
      <c r="K74" s="8" t="s">
        <v>22252</v>
      </c>
      <c r="M74" s="8" t="str">
        <f>VLOOKUP(D74,NKcode!$B$9:$C$6121,2,FALSE)</f>
        <v>0001257</v>
      </c>
      <c r="N74" s="8" t="str">
        <f t="shared" si="10"/>
        <v>N0001257</v>
      </c>
      <c r="O74" s="43" t="s">
        <v>22722</v>
      </c>
    </row>
    <row r="75" spans="1:15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3" t="str">
        <f>VLOOKUP(VALUE(LEFT(C75,2)),[1]証券コード!$A$1:$B$14,2,1)</f>
        <v>建設</v>
      </c>
      <c r="F75" s="33" t="s">
        <v>22703</v>
      </c>
      <c r="G75" s="33" t="s">
        <v>22672</v>
      </c>
      <c r="J75" s="8" t="str">
        <f t="shared" si="14"/>
        <v>2002年2月3日</v>
      </c>
      <c r="K75" s="8" t="s">
        <v>22252</v>
      </c>
      <c r="M75" s="8" t="str">
        <f>VLOOKUP(D75,NKcode!$B$9:$C$6121,2,FALSE)</f>
        <v>0000147</v>
      </c>
      <c r="N75" s="8" t="str">
        <f t="shared" si="10"/>
        <v>N0000147</v>
      </c>
    </row>
    <row r="76" spans="1:15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3" t="str">
        <f>VLOOKUP(VALUE(LEFT(C76,2)),[1]証券コード!$A$1:$B$14,2,1)</f>
        <v>金融・商業・不動産</v>
      </c>
      <c r="F76" s="33" t="s">
        <v>22702</v>
      </c>
      <c r="G76" s="33" t="s">
        <v>22666</v>
      </c>
      <c r="J76" s="8" t="str">
        <f t="shared" si="14"/>
        <v>2002年2月23日</v>
      </c>
      <c r="K76" s="8" t="s">
        <v>22320</v>
      </c>
      <c r="M76" s="8" t="str">
        <f>VLOOKUP(D76,NKcode!$B$9:$C$6121,2,FALSE)</f>
        <v>0025431</v>
      </c>
      <c r="N76" s="8" t="str">
        <f t="shared" si="10"/>
        <v>N0025431</v>
      </c>
      <c r="O76" s="43" t="s">
        <v>22723</v>
      </c>
    </row>
    <row r="77" spans="1:15" x14ac:dyDescent="0.15">
      <c r="A77" s="8" t="s">
        <v>22594</v>
      </c>
      <c r="C77" s="8" t="str">
        <f t="shared" si="12"/>
        <v>6011</v>
      </c>
      <c r="D77" s="40" t="str">
        <f t="shared" si="13"/>
        <v>新潟鉄工所</v>
      </c>
      <c r="E77" s="33" t="str">
        <f>VLOOKUP(VALUE(LEFT(C77,2)),[1]証券コード!$A$1:$B$14,2,1)</f>
        <v>機械・電機</v>
      </c>
      <c r="F77" s="33" t="s">
        <v>22702</v>
      </c>
      <c r="G77" s="33" t="s">
        <v>22673</v>
      </c>
      <c r="J77" s="8" t="str">
        <f t="shared" si="14"/>
        <v>2002年2月28日</v>
      </c>
      <c r="K77" s="8" t="s">
        <v>22320</v>
      </c>
      <c r="M77" s="8" t="str">
        <f>VLOOKUP(D77,NKcode!$B$9:$C$6121,2,FALSE)</f>
        <v>0000982</v>
      </c>
      <c r="N77" s="8" t="str">
        <f t="shared" si="10"/>
        <v>N0000982</v>
      </c>
      <c r="O77" s="43" t="s">
        <v>22724</v>
      </c>
    </row>
    <row r="78" spans="1:15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3" t="str">
        <f>VLOOKUP(VALUE(LEFT(C78,2)),[1]証券コード!$A$1:$B$14,2,1)</f>
        <v>建設</v>
      </c>
      <c r="F78" s="33" t="s">
        <v>22702</v>
      </c>
      <c r="G78" s="33" t="s">
        <v>22672</v>
      </c>
      <c r="J78" s="8" t="str">
        <f t="shared" si="14"/>
        <v>2002年3月7日</v>
      </c>
      <c r="K78" s="8" t="s">
        <v>22320</v>
      </c>
      <c r="M78" s="8" t="str">
        <f>VLOOKUP(D78,NKcode!$B$9:$C$6121,2,FALSE)</f>
        <v>0000117</v>
      </c>
      <c r="N78" s="8" t="str">
        <f t="shared" si="10"/>
        <v>N0000117</v>
      </c>
      <c r="O78" s="43" t="s">
        <v>22725</v>
      </c>
    </row>
    <row r="79" spans="1:15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3" t="str">
        <f>VLOOKUP(VALUE(LEFT(C79,2)),[1]証券コード!$A$1:$B$14,2,1)</f>
        <v>建設</v>
      </c>
      <c r="F79" s="33" t="s">
        <v>22702</v>
      </c>
      <c r="G79" s="33" t="s">
        <v>22672</v>
      </c>
      <c r="J79" s="8" t="str">
        <f t="shared" si="14"/>
        <v>2002年4月14日</v>
      </c>
      <c r="K79" s="8" t="s">
        <v>22252</v>
      </c>
      <c r="M79" s="8" t="str">
        <f>VLOOKUP(D79,NKcode!$B$9:$C$6121,2,FALSE)</f>
        <v>0000170</v>
      </c>
      <c r="N79" s="8" t="str">
        <f t="shared" si="10"/>
        <v>N0000170</v>
      </c>
      <c r="O79" s="43" t="s">
        <v>22726</v>
      </c>
    </row>
    <row r="80" spans="1:15" x14ac:dyDescent="0.15">
      <c r="A80" s="8" t="s">
        <v>22458</v>
      </c>
      <c r="C80" s="8" t="str">
        <f t="shared" si="12"/>
        <v>2287</v>
      </c>
      <c r="D80" s="46" t="str">
        <f t="shared" si="13"/>
        <v>雪印食品</v>
      </c>
      <c r="E80" s="33" t="str">
        <f>VLOOKUP(VALUE(LEFT(C80,2)),[1]証券コード!$A$1:$B$14,2,1)</f>
        <v>食品</v>
      </c>
      <c r="F80" s="33" t="s">
        <v>22703</v>
      </c>
      <c r="G80" s="33" t="s">
        <v>22674</v>
      </c>
      <c r="J80" s="8" t="str">
        <f t="shared" si="14"/>
        <v>2002年4月30日</v>
      </c>
      <c r="K80" s="8" t="s">
        <v>22401</v>
      </c>
      <c r="M80" s="8" t="str">
        <f>VLOOKUP(D80,NKcode!$B$9:$C$6121,2,FALSE)</f>
        <v>0000242</v>
      </c>
      <c r="N80" s="8" t="str">
        <f t="shared" si="10"/>
        <v>N0000242</v>
      </c>
      <c r="O80" s="43" t="s">
        <v>22727</v>
      </c>
    </row>
    <row r="81" spans="1:15" x14ac:dyDescent="0.15">
      <c r="A81" s="8" t="s">
        <v>22457</v>
      </c>
      <c r="C81" s="8" t="str">
        <f t="shared" si="12"/>
        <v>7910</v>
      </c>
      <c r="D81" s="40" t="str">
        <f t="shared" si="13"/>
        <v>段谷産業</v>
      </c>
      <c r="E81" s="33" t="str">
        <f>VLOOKUP(VALUE(LEFT(C81,2)),[1]証券コード!$A$1:$B$14,2,1)</f>
        <v>自動車・輸送機</v>
      </c>
      <c r="F81" s="33" t="s">
        <v>22702</v>
      </c>
      <c r="G81" s="33" t="s">
        <v>22673</v>
      </c>
      <c r="J81" s="8" t="str">
        <f t="shared" si="14"/>
        <v>2002年5月3日</v>
      </c>
      <c r="K81" s="8" t="s">
        <v>22291</v>
      </c>
      <c r="M81" s="8" t="str">
        <f>VLOOKUP(D81,NKcode!$B$9:$C$6121,2,FALSE)</f>
        <v>0001535</v>
      </c>
      <c r="N81" s="8" t="str">
        <f t="shared" si="10"/>
        <v>N0001535</v>
      </c>
      <c r="O81" s="43" t="s">
        <v>22728</v>
      </c>
    </row>
    <row r="82" spans="1:15" x14ac:dyDescent="0.15">
      <c r="A82" s="8" t="s">
        <v>22456</v>
      </c>
      <c r="C82" s="8" t="str">
        <f t="shared" si="12"/>
        <v>6813</v>
      </c>
      <c r="D82" s="40" t="str">
        <f t="shared" si="13"/>
        <v>ナカミチ</v>
      </c>
      <c r="E82" s="33" t="str">
        <f>VLOOKUP(VALUE(LEFT(C82,2)),[1]証券コード!$A$1:$B$14,2,1)</f>
        <v>機械・電機</v>
      </c>
      <c r="F82" s="33" t="s">
        <v>22703</v>
      </c>
      <c r="G82" s="33" t="s">
        <v>22673</v>
      </c>
      <c r="J82" s="8" t="str">
        <f t="shared" si="14"/>
        <v>2002年5月20日</v>
      </c>
      <c r="K82" s="8" t="s">
        <v>22252</v>
      </c>
      <c r="M82" s="8" t="str">
        <f>VLOOKUP(D82,NKcode!$B$9:$C$6121,2,FALSE)</f>
        <v>0017192</v>
      </c>
      <c r="N82" s="8" t="str">
        <f t="shared" si="10"/>
        <v>N0017192</v>
      </c>
    </row>
    <row r="83" spans="1:15" x14ac:dyDescent="0.15">
      <c r="A83" s="8" t="s">
        <v>22455</v>
      </c>
      <c r="C83" s="8" t="str">
        <f t="shared" si="12"/>
        <v>5562</v>
      </c>
      <c r="D83" s="40" t="str">
        <f>LEFT(A83,FIND("（",A83)-1)</f>
        <v>日本重化学工業</v>
      </c>
      <c r="E83" s="33" t="str">
        <f>VLOOKUP(VALUE(LEFT(C83,2)),[1]証券コード!$A$1:$B$14,2,1)</f>
        <v>資源・素材</v>
      </c>
      <c r="F83" s="33" t="s">
        <v>22702</v>
      </c>
      <c r="G83" s="33" t="s">
        <v>22665</v>
      </c>
      <c r="J83" s="8" t="str">
        <f t="shared" si="14"/>
        <v>2002年5月23日</v>
      </c>
      <c r="K83" s="8" t="s">
        <v>22320</v>
      </c>
      <c r="M83" s="8" t="str">
        <f>VLOOKUP(D83,NKcode!$B$9:$C$6121,2,FALSE)</f>
        <v>0000840</v>
      </c>
      <c r="N83" s="8" t="str">
        <f t="shared" si="10"/>
        <v>N0000840</v>
      </c>
      <c r="O83" s="43" t="s">
        <v>22729</v>
      </c>
    </row>
    <row r="84" spans="1:15" x14ac:dyDescent="0.15">
      <c r="A84" s="8" t="s">
        <v>22454</v>
      </c>
      <c r="C84" s="8" t="str">
        <f t="shared" si="12"/>
        <v>1804</v>
      </c>
      <c r="D84" s="8" t="str">
        <f t="shared" si="13"/>
        <v>佐藤工業</v>
      </c>
      <c r="E84" s="33" t="str">
        <f>VLOOKUP(VALUE(LEFT(C84,2)),[1]証券コード!$A$1:$B$14,2,1)</f>
        <v>建設</v>
      </c>
      <c r="F84" s="33" t="s">
        <v>22703</v>
      </c>
      <c r="G84" s="33" t="s">
        <v>22672</v>
      </c>
      <c r="J84" s="8" t="str">
        <f t="shared" si="14"/>
        <v>2002年6月4日</v>
      </c>
      <c r="K84" s="8" t="s">
        <v>22320</v>
      </c>
      <c r="M84" s="8" t="str">
        <f>VLOOKUP(D84,NKcode!$B$9:$C$6121,2,FALSE)</f>
        <v>0000064</v>
      </c>
      <c r="N84" s="8" t="str">
        <f t="shared" si="10"/>
        <v>N0000064</v>
      </c>
      <c r="O84" s="43" t="s">
        <v>22730</v>
      </c>
    </row>
    <row r="85" spans="1:15" x14ac:dyDescent="0.15">
      <c r="A85" s="8" t="s">
        <v>22453</v>
      </c>
      <c r="C85" s="8" t="str">
        <f t="shared" si="12"/>
        <v>3870</v>
      </c>
      <c r="D85" s="40" t="str">
        <f t="shared" si="13"/>
        <v>日本加工製紙</v>
      </c>
      <c r="E85" s="33" t="str">
        <f>VLOOKUP(VALUE(LEFT(C85,2)),[1]証券コード!$A$1:$B$14,2,1)</f>
        <v>繊維・紙</v>
      </c>
      <c r="F85" s="33" t="s">
        <v>22702</v>
      </c>
      <c r="G85" s="33" t="s">
        <v>22675</v>
      </c>
      <c r="J85" s="8" t="str">
        <f t="shared" si="14"/>
        <v>2002年6月13日</v>
      </c>
      <c r="K85" s="8" t="s">
        <v>22291</v>
      </c>
      <c r="M85" s="8" t="str">
        <f>VLOOKUP(D85,NKcode!$B$9:$C$6121,2,FALSE)</f>
        <v>0000426</v>
      </c>
      <c r="N85" s="8" t="str">
        <f t="shared" si="10"/>
        <v>N0000426</v>
      </c>
      <c r="O85" s="43" t="s">
        <v>22731</v>
      </c>
    </row>
    <row r="86" spans="1:15" x14ac:dyDescent="0.15">
      <c r="A86" s="8" t="s">
        <v>22452</v>
      </c>
      <c r="C86" s="8" t="str">
        <f t="shared" si="12"/>
        <v>6114</v>
      </c>
      <c r="D86" s="40" t="str">
        <f t="shared" si="13"/>
        <v>住倉工業</v>
      </c>
      <c r="E86" s="33" t="str">
        <f>VLOOKUP(VALUE(LEFT(C86,2)),[1]証券コード!$A$1:$B$14,2,1)</f>
        <v>機械・電機</v>
      </c>
      <c r="F86" s="33" t="s">
        <v>22703</v>
      </c>
      <c r="G86" s="33" t="s">
        <v>22671</v>
      </c>
      <c r="J86" s="8" t="str">
        <f t="shared" si="14"/>
        <v>2002年6月18日</v>
      </c>
      <c r="K86" s="8" t="s">
        <v>22291</v>
      </c>
      <c r="M86" s="8" t="str">
        <f>VLOOKUP(D86,NKcode!$B$9:$C$6121,2,FALSE)</f>
        <v>0001002</v>
      </c>
      <c r="N86" s="8" t="str">
        <f t="shared" si="10"/>
        <v>N0001002</v>
      </c>
    </row>
    <row r="87" spans="1:15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3" t="str">
        <f>VLOOKUP(VALUE(LEFT(C87,2)),[1]証券コード!$A$1:$B$14,2,1)</f>
        <v>建設</v>
      </c>
      <c r="F87" s="33" t="s">
        <v>22702</v>
      </c>
      <c r="G87" s="33" t="s">
        <v>22672</v>
      </c>
      <c r="J87" s="8" t="str">
        <f t="shared" si="14"/>
        <v>2002年7月1日</v>
      </c>
      <c r="K87" s="8" t="s">
        <v>22320</v>
      </c>
      <c r="M87" s="8" t="str">
        <f>VLOOKUP(D87,NKcode!$B$9:$C$6121,2,FALSE)</f>
        <v>0000077</v>
      </c>
      <c r="N87" s="8" t="str">
        <f t="shared" si="10"/>
        <v>N0000077</v>
      </c>
      <c r="O87" s="43" t="s">
        <v>22732</v>
      </c>
    </row>
    <row r="88" spans="1:15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3" t="str">
        <f>VLOOKUP(VALUE(LEFT(C88,2)),[1]証券コード!$A$1:$B$14,2,1)</f>
        <v>金融・商業・不動産</v>
      </c>
      <c r="F88" s="33" t="s">
        <v>22702</v>
      </c>
      <c r="G88" s="33" t="s">
        <v>22663</v>
      </c>
      <c r="J88" s="8" t="str">
        <f t="shared" si="14"/>
        <v>2002年7月17日</v>
      </c>
      <c r="K88" s="8" t="s">
        <v>22252</v>
      </c>
      <c r="M88" s="8" t="str">
        <f>VLOOKUP(D88,NKcode!$B$9:$C$6121,2,FALSE)</f>
        <v>0001641</v>
      </c>
      <c r="N88" s="8" t="str">
        <f t="shared" si="10"/>
        <v>N0001641</v>
      </c>
      <c r="O88" s="43" t="s">
        <v>22733</v>
      </c>
    </row>
    <row r="89" spans="1:15" x14ac:dyDescent="0.15">
      <c r="A89" s="8" t="s">
        <v>22449</v>
      </c>
      <c r="C89" s="8" t="str">
        <f t="shared" si="12"/>
        <v>1351</v>
      </c>
      <c r="D89" s="40" t="str">
        <f t="shared" si="13"/>
        <v>宝幸水産</v>
      </c>
      <c r="E89" s="33" t="str">
        <f>VLOOKUP(VALUE(LEFT(C89,2)),[1]証券コード!$A$1:$B$14,2,1)</f>
        <v>水産・農業</v>
      </c>
      <c r="F89" s="33" t="s">
        <v>22702</v>
      </c>
      <c r="G89" s="33" t="s">
        <v>22673</v>
      </c>
      <c r="J89" s="8" t="str">
        <f t="shared" si="14"/>
        <v>2002年7月26日</v>
      </c>
      <c r="K89" s="8" t="s">
        <v>22320</v>
      </c>
      <c r="L89" s="8" t="s">
        <v>22596</v>
      </c>
      <c r="M89" s="8" t="s">
        <v>128</v>
      </c>
      <c r="N89" s="8" t="str">
        <f t="shared" si="10"/>
        <v>N0000005</v>
      </c>
      <c r="O89" s="43" t="s">
        <v>22734</v>
      </c>
    </row>
    <row r="90" spans="1:15" x14ac:dyDescent="0.15">
      <c r="A90" s="8" t="s">
        <v>22448</v>
      </c>
      <c r="C90" s="8" t="str">
        <f t="shared" si="12"/>
        <v>3115</v>
      </c>
      <c r="D90" s="40" t="str">
        <f t="shared" si="13"/>
        <v>テザック</v>
      </c>
      <c r="E90" s="33" t="str">
        <f>VLOOKUP(VALUE(LEFT(C90,2)),[1]証券コード!$A$1:$B$14,2,1)</f>
        <v>繊維・紙</v>
      </c>
      <c r="F90" s="33" t="s">
        <v>22702</v>
      </c>
      <c r="G90" s="33" t="s">
        <v>22673</v>
      </c>
      <c r="J90" s="8" t="str">
        <f t="shared" si="14"/>
        <v>2002年8月5日</v>
      </c>
      <c r="K90" s="8" t="s">
        <v>22320</v>
      </c>
      <c r="L90" s="8" t="s">
        <v>22598</v>
      </c>
      <c r="M90" s="8" t="s">
        <v>1150</v>
      </c>
      <c r="N90" s="8" t="str">
        <f t="shared" si="10"/>
        <v>N0000321</v>
      </c>
      <c r="O90" s="43" t="s">
        <v>22735</v>
      </c>
    </row>
    <row r="91" spans="1:15" x14ac:dyDescent="0.15">
      <c r="A91" s="8" t="s">
        <v>22447</v>
      </c>
      <c r="C91" s="8" t="str">
        <f t="shared" si="12"/>
        <v>6808</v>
      </c>
      <c r="D91" s="40" t="str">
        <f t="shared" si="13"/>
        <v>シントム</v>
      </c>
      <c r="E91" s="33" t="str">
        <f>VLOOKUP(VALUE(LEFT(C91,2)),[1]証券コード!$A$1:$B$14,2,1)</f>
        <v>機械・電機</v>
      </c>
      <c r="F91" s="33" t="s">
        <v>22702</v>
      </c>
      <c r="G91" s="33" t="s">
        <v>22673</v>
      </c>
      <c r="J91" s="8" t="str">
        <f t="shared" si="14"/>
        <v>2002年9月27日</v>
      </c>
      <c r="K91" s="8" t="s">
        <v>22446</v>
      </c>
      <c r="M91" s="8" t="str">
        <f>VLOOKUP(D91,NKcode!$B$9:$C$6121,2,FALSE)</f>
        <v>0001317</v>
      </c>
      <c r="N91" s="8" t="str">
        <f t="shared" si="10"/>
        <v>N0001317</v>
      </c>
      <c r="O91" s="43" t="s">
        <v>22736</v>
      </c>
    </row>
    <row r="92" spans="1:15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3" t="str">
        <f>VLOOKUP(VALUE(LEFT(C92,2)),[1]証券コード!$A$1:$B$14,2,1)</f>
        <v>建設</v>
      </c>
      <c r="F92" s="33" t="s">
        <v>22702</v>
      </c>
      <c r="G92" s="33" t="s">
        <v>22672</v>
      </c>
      <c r="J92" s="8" t="str">
        <f t="shared" si="14"/>
        <v>2002年10月16日</v>
      </c>
      <c r="K92" s="8" t="s">
        <v>22252</v>
      </c>
      <c r="M92" s="8" t="str">
        <f>VLOOKUP(D92,NKcode!$B$9:$C$6121,2,FALSE)</f>
        <v>0000093</v>
      </c>
      <c r="N92" s="8" t="str">
        <f t="shared" si="10"/>
        <v>N0000093</v>
      </c>
      <c r="O92" s="43" t="s">
        <v>22737</v>
      </c>
    </row>
    <row r="93" spans="1:15" x14ac:dyDescent="0.15">
      <c r="A93" s="8" t="s">
        <v>22444</v>
      </c>
      <c r="C93" s="8" t="str">
        <f t="shared" si="12"/>
        <v>6106</v>
      </c>
      <c r="D93" s="40" t="str">
        <f t="shared" si="13"/>
        <v>日立精機</v>
      </c>
      <c r="E93" s="33" t="str">
        <f>VLOOKUP(VALUE(LEFT(C93,2)),[1]証券コード!$A$1:$B$14,2,1)</f>
        <v>機械・電機</v>
      </c>
      <c r="F93" s="33" t="s">
        <v>22702</v>
      </c>
      <c r="G93" s="33" t="s">
        <v>22671</v>
      </c>
      <c r="J93" s="8" t="str">
        <f t="shared" si="14"/>
        <v>2002年11月20日</v>
      </c>
      <c r="K93" s="8" t="s">
        <v>22252</v>
      </c>
      <c r="M93" s="8" t="str">
        <f>VLOOKUP(D93,NKcode!$B$9:$C$6121,2,FALSE)</f>
        <v>0000996</v>
      </c>
      <c r="N93" s="8" t="str">
        <f t="shared" si="10"/>
        <v>N0000996</v>
      </c>
      <c r="O93" s="43" t="s">
        <v>22738</v>
      </c>
    </row>
    <row r="94" spans="1:15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3" t="str">
        <f>VLOOKUP(VALUE(LEFT(C94,2)),[1]証券コード!$A$1:$B$14,2,1)</f>
        <v>建設</v>
      </c>
      <c r="F94" s="33" t="s">
        <v>22702</v>
      </c>
      <c r="G94" s="33" t="s">
        <v>22672</v>
      </c>
      <c r="J94" s="8" t="str">
        <f t="shared" si="14"/>
        <v>2002年12月1日</v>
      </c>
      <c r="K94" s="8" t="s">
        <v>22252</v>
      </c>
      <c r="M94" s="8" t="str">
        <f>VLOOKUP(D94,NKcode!$B$9:$C$6121,2,FALSE)</f>
        <v>0000184</v>
      </c>
      <c r="N94" s="8" t="str">
        <f t="shared" si="10"/>
        <v>N0000184</v>
      </c>
      <c r="O94" s="43" t="s">
        <v>22739</v>
      </c>
    </row>
    <row r="95" spans="1:15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3" t="str">
        <f>VLOOKUP(VALUE(LEFT(C95,2)),[1]証券コード!$A$1:$B$14,2,1)</f>
        <v>建設</v>
      </c>
      <c r="F95" s="33" t="s">
        <v>22702</v>
      </c>
      <c r="G95" s="33" t="s">
        <v>22672</v>
      </c>
      <c r="J95" s="8" t="str">
        <f t="shared" si="14"/>
        <v>2002年12月16日</v>
      </c>
      <c r="K95" s="8" t="s">
        <v>22252</v>
      </c>
      <c r="M95" s="8" t="str">
        <f>VLOOKUP(D95,NKcode!$B$9:$C$6121,2,FALSE)</f>
        <v>0000095</v>
      </c>
      <c r="N95" s="8" t="str">
        <f t="shared" si="10"/>
        <v>N0000095</v>
      </c>
      <c r="O95" s="43" t="s">
        <v>22740</v>
      </c>
    </row>
    <row r="96" spans="1:15" x14ac:dyDescent="0.15">
      <c r="B96" s="12" t="s">
        <v>22441</v>
      </c>
    </row>
    <row r="97" spans="1:15" x14ac:dyDescent="0.15">
      <c r="A97" s="8" t="s">
        <v>22600</v>
      </c>
      <c r="C97" s="8" t="str">
        <f t="shared" ref="C97:C103" si="15">MID(A97,FIND("）",A97)-4,4)</f>
        <v>3007</v>
      </c>
      <c r="D97" s="40" t="str">
        <f t="shared" ref="D97:D103" si="16">LEFT(A97,FIND("（",A97)-1)</f>
        <v>神戸生糸</v>
      </c>
      <c r="E97" s="33" t="str">
        <f>VLOOKUP(VALUE(LEFT(C97,2)),[1]証券コード!$A$1:$B$14,2,1)</f>
        <v>繊維・紙</v>
      </c>
      <c r="F97" s="33" t="s">
        <v>22702</v>
      </c>
      <c r="G97" s="33" t="s">
        <v>22676</v>
      </c>
      <c r="J97" s="8" t="str">
        <f t="shared" ref="J97:J103" si="17">MID(A97,FIND("（",$A97)+1,FIND("、",$A97)-FIND("（",$A97)-1)</f>
        <v>2003年3月21日</v>
      </c>
      <c r="K97" s="8" t="s">
        <v>22252</v>
      </c>
      <c r="M97" s="8" t="str">
        <f>VLOOKUP(D97,NKcode!$B$9:$C$6121,2,FALSE)</f>
        <v>0000353</v>
      </c>
      <c r="N97" s="8" t="str">
        <f t="shared" si="10"/>
        <v>N0000353</v>
      </c>
      <c r="O97" s="43" t="s">
        <v>22741</v>
      </c>
    </row>
    <row r="98" spans="1:15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3" t="str">
        <f>VLOOKUP(VALUE(LEFT(C98,2)),[1]証券コード!$A$1:$B$14,2,1)</f>
        <v>金融・商業・不動産</v>
      </c>
      <c r="F98" s="33" t="s">
        <v>22702</v>
      </c>
      <c r="G98" s="33" t="s">
        <v>22664</v>
      </c>
      <c r="J98" s="8" t="str">
        <f t="shared" si="17"/>
        <v>2003年4月25日</v>
      </c>
      <c r="K98" s="8" t="s">
        <v>22252</v>
      </c>
      <c r="L98" s="8" t="s">
        <v>22601</v>
      </c>
      <c r="M98" s="8" t="s">
        <v>7386</v>
      </c>
      <c r="N98" s="8" t="str">
        <f t="shared" si="10"/>
        <v>N0007527</v>
      </c>
      <c r="O98" s="43" t="s">
        <v>22742</v>
      </c>
    </row>
    <row r="99" spans="1:15" x14ac:dyDescent="0.15">
      <c r="A99" s="8" t="s">
        <v>22603</v>
      </c>
      <c r="C99" s="8" t="str">
        <f t="shared" si="15"/>
        <v>3206</v>
      </c>
      <c r="D99" s="40" t="str">
        <f t="shared" si="16"/>
        <v>南海毛糸紡績</v>
      </c>
      <c r="E99" s="33" t="str">
        <f>VLOOKUP(VALUE(LEFT(C99,2)),[1]証券コード!$A$1:$B$14,2,1)</f>
        <v>繊維・紙</v>
      </c>
      <c r="F99" s="33" t="s">
        <v>22703</v>
      </c>
      <c r="G99" s="33" t="s">
        <v>22676</v>
      </c>
      <c r="J99" s="8" t="str">
        <f t="shared" si="17"/>
        <v>2003年4月30日</v>
      </c>
      <c r="K99" s="8" t="s">
        <v>22252</v>
      </c>
      <c r="L99" s="8" t="s">
        <v>22604</v>
      </c>
      <c r="M99" s="8" t="s">
        <v>1199</v>
      </c>
      <c r="N99" s="8" t="str">
        <f t="shared" si="10"/>
        <v>N0000335</v>
      </c>
    </row>
    <row r="100" spans="1:15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3" t="str">
        <f>VLOOKUP(VALUE(LEFT(C100,2)),[1]証券コード!$A$1:$B$14,2,1)</f>
        <v>建設</v>
      </c>
      <c r="F100" s="33" t="s">
        <v>22703</v>
      </c>
      <c r="G100" s="33" t="s">
        <v>22672</v>
      </c>
      <c r="J100" s="8" t="str">
        <f t="shared" si="17"/>
        <v>2003年6月3日</v>
      </c>
      <c r="K100" s="8" t="s">
        <v>22252</v>
      </c>
      <c r="M100" s="8" t="str">
        <f>VLOOKUP(D100,NKcode!$B$9:$C$6121,2,FALSE)</f>
        <v>0000088</v>
      </c>
      <c r="N100" s="8" t="str">
        <f t="shared" si="10"/>
        <v>N0000088</v>
      </c>
    </row>
    <row r="101" spans="1:15" x14ac:dyDescent="0.15">
      <c r="A101" s="8" t="s">
        <v>22437</v>
      </c>
      <c r="C101" s="8" t="str">
        <f t="shared" si="15"/>
        <v>6394</v>
      </c>
      <c r="D101" s="40" t="str">
        <f t="shared" si="16"/>
        <v>大江工業</v>
      </c>
      <c r="E101" s="33" t="str">
        <f>VLOOKUP(VALUE(LEFT(C101,2)),[1]証券コード!$A$1:$B$14,2,1)</f>
        <v>機械・電機</v>
      </c>
      <c r="F101" s="33" t="s">
        <v>22703</v>
      </c>
      <c r="G101" s="33" t="s">
        <v>22673</v>
      </c>
      <c r="J101" s="8" t="str">
        <f t="shared" si="17"/>
        <v>2003年6月30日</v>
      </c>
      <c r="K101" s="8" t="s">
        <v>22252</v>
      </c>
      <c r="M101" s="8" t="str">
        <f>VLOOKUP(D101,NKcode!$B$9:$C$6121,2,FALSE)</f>
        <v>0001100</v>
      </c>
      <c r="N101" s="8" t="str">
        <f t="shared" si="10"/>
        <v>N0001100</v>
      </c>
    </row>
    <row r="102" spans="1:15" x14ac:dyDescent="0.15">
      <c r="A102" s="8" t="s">
        <v>22436</v>
      </c>
      <c r="C102" s="8" t="str">
        <f t="shared" si="15"/>
        <v>3584</v>
      </c>
      <c r="D102" s="40" t="str">
        <f t="shared" si="16"/>
        <v>福助</v>
      </c>
      <c r="E102" s="33" t="str">
        <f>VLOOKUP(VALUE(LEFT(C102,2)),[1]証券コード!$A$1:$B$14,2,1)</f>
        <v>繊維・紙</v>
      </c>
      <c r="F102" s="33" t="s">
        <v>22702</v>
      </c>
      <c r="G102" s="33" t="s">
        <v>22673</v>
      </c>
      <c r="J102" s="8" t="str">
        <f t="shared" si="17"/>
        <v>2003年7月22日</v>
      </c>
      <c r="K102" s="8" t="s">
        <v>22252</v>
      </c>
      <c r="M102" s="8" t="str">
        <f>VLOOKUP(D102,NKcode!$B$9:$C$6121,2,FALSE)</f>
        <v>0000382</v>
      </c>
      <c r="N102" s="8" t="str">
        <f t="shared" si="10"/>
        <v>N0000382</v>
      </c>
      <c r="O102" s="43" t="s">
        <v>22743</v>
      </c>
    </row>
    <row r="103" spans="1:15" x14ac:dyDescent="0.15">
      <c r="A103" s="8" t="s">
        <v>22435</v>
      </c>
      <c r="C103" s="8" t="str">
        <f t="shared" si="15"/>
        <v>7764</v>
      </c>
      <c r="D103" s="40" t="str">
        <f t="shared" si="16"/>
        <v>オリエント時計</v>
      </c>
      <c r="E103" s="33" t="str">
        <f>VLOOKUP(VALUE(LEFT(C103,2)),[1]証券コード!$A$1:$B$14,2,1)</f>
        <v>自動車・輸送機</v>
      </c>
      <c r="F103" s="33" t="s">
        <v>22703</v>
      </c>
      <c r="G103" s="33" t="s">
        <v>22673</v>
      </c>
      <c r="J103" s="8" t="str">
        <f t="shared" si="17"/>
        <v>2003年7月27日</v>
      </c>
      <c r="K103" s="8" t="s">
        <v>22272</v>
      </c>
      <c r="M103" s="8" t="str">
        <f>VLOOKUP(D103,NKcode!$B$9:$C$6121,2,FALSE)</f>
        <v>0001468</v>
      </c>
      <c r="N103" s="8" t="str">
        <f t="shared" si="10"/>
        <v>N0001468</v>
      </c>
      <c r="O103" s="43" t="s">
        <v>22744</v>
      </c>
    </row>
    <row r="104" spans="1:15" x14ac:dyDescent="0.15">
      <c r="B104" s="12" t="s">
        <v>22434</v>
      </c>
    </row>
    <row r="105" spans="1:15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3" t="str">
        <f>VLOOKUP(VALUE(LEFT(C105,2)),[1]証券コード!$A$1:$B$14,2,1)</f>
        <v>金融・商業・不動産</v>
      </c>
      <c r="F105" s="33" t="s">
        <v>22702</v>
      </c>
      <c r="G105" s="33" t="s">
        <v>22666</v>
      </c>
      <c r="J105" s="8" t="str">
        <f t="shared" ref="J105:J113" si="20">MID(A105,FIND("（",$A105)+1,FIND("、",$A105)-FIND("（",$A105)-1)</f>
        <v>2004年1月26日</v>
      </c>
      <c r="K105" s="8" t="s">
        <v>22320</v>
      </c>
      <c r="M105" s="8" t="str">
        <f>VLOOKUP(D105,NKcode!$B$9:$C$6121,2,FALSE)</f>
        <v>0071005</v>
      </c>
      <c r="N105" s="8" t="str">
        <f t="shared" si="10"/>
        <v>N0071005</v>
      </c>
      <c r="O105" s="43" t="s">
        <v>22745</v>
      </c>
    </row>
    <row r="106" spans="1:15" x14ac:dyDescent="0.15">
      <c r="A106" s="8" t="s">
        <v>22432</v>
      </c>
      <c r="B106" s="18"/>
      <c r="C106" s="18" t="str">
        <f t="shared" si="18"/>
        <v>4219</v>
      </c>
      <c r="D106" s="44" t="str">
        <f t="shared" si="19"/>
        <v>プラス・テク</v>
      </c>
      <c r="E106" s="37" t="str">
        <f>VLOOKUP(VALUE(LEFT(C106,2)),[1]証券コード!$A$1:$B$14,2,1)</f>
        <v>化学・薬品</v>
      </c>
      <c r="F106" s="37" t="s">
        <v>22703</v>
      </c>
      <c r="G106" s="37" t="s">
        <v>22673</v>
      </c>
      <c r="H106" s="19">
        <v>1</v>
      </c>
      <c r="I106" s="19"/>
      <c r="J106" s="18" t="str">
        <f t="shared" si="20"/>
        <v>2004年3月1日</v>
      </c>
      <c r="K106" s="18" t="s">
        <v>22431</v>
      </c>
      <c r="L106" s="18" t="s">
        <v>22862</v>
      </c>
      <c r="M106" s="18" t="str">
        <f>VLOOKUP(D106,NKcode!$B$9:$C$6121,2,FALSE)</f>
        <v>0000541</v>
      </c>
      <c r="N106" s="8" t="str">
        <f t="shared" si="10"/>
        <v>N0000541</v>
      </c>
      <c r="O106" s="43"/>
    </row>
    <row r="107" spans="1:15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3" t="str">
        <f>VLOOKUP(VALUE(LEFT(C107,2)),[1]証券コード!$A$1:$B$14,2,1)</f>
        <v>運輸・通信・電気・ガス・サービス</v>
      </c>
      <c r="F107" s="33" t="s">
        <v>22702</v>
      </c>
      <c r="G107" s="33" t="s">
        <v>22667</v>
      </c>
      <c r="J107" s="8" t="str">
        <f t="shared" si="20"/>
        <v>2004年3月24日</v>
      </c>
      <c r="K107" s="8" t="s">
        <v>22373</v>
      </c>
      <c r="M107" s="8" t="str">
        <f>VLOOKUP(D107,NKcode!$B$9:$C$6121,2,FALSE)</f>
        <v>0016312</v>
      </c>
      <c r="N107" s="8" t="str">
        <f t="shared" si="10"/>
        <v>N0016312</v>
      </c>
    </row>
    <row r="108" spans="1:15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3" t="str">
        <f>VLOOKUP(VALUE(LEFT(C108,2)),[1]証券コード!$A$1:$B$14,2,1)</f>
        <v>建設</v>
      </c>
      <c r="F108" s="33" t="s">
        <v>22702</v>
      </c>
      <c r="G108" s="33" t="s">
        <v>22672</v>
      </c>
      <c r="J108" s="8" t="str">
        <f t="shared" si="20"/>
        <v>2004年4月30日</v>
      </c>
      <c r="K108" s="8" t="s">
        <v>22291</v>
      </c>
      <c r="M108" s="8" t="str">
        <f>VLOOKUP(D108,NKcode!$B$9:$C$6121,2,FALSE)</f>
        <v>0000084</v>
      </c>
      <c r="N108" s="8" t="str">
        <f t="shared" si="10"/>
        <v>N0000084</v>
      </c>
    </row>
    <row r="109" spans="1:15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3" t="str">
        <f>VLOOKUP(VALUE(LEFT(C109,2)),[1]証券コード!$A$1:$B$14,2,1)</f>
        <v>建設</v>
      </c>
      <c r="F109" s="33" t="s">
        <v>22702</v>
      </c>
      <c r="G109" s="33" t="s">
        <v>22672</v>
      </c>
      <c r="J109" s="8" t="str">
        <f t="shared" si="20"/>
        <v>2004年5月6日</v>
      </c>
      <c r="K109" s="8" t="s">
        <v>22252</v>
      </c>
      <c r="M109" s="8" t="str">
        <f>VLOOKUP(D109,NKcode!$B$9:$C$6121,2,FALSE)</f>
        <v>0000104</v>
      </c>
      <c r="N109" s="8" t="str">
        <f t="shared" si="10"/>
        <v>N0000104</v>
      </c>
      <c r="O109" s="43" t="s">
        <v>22746</v>
      </c>
    </row>
    <row r="110" spans="1:15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3" t="str">
        <f>VLOOKUP(VALUE(LEFT(C110,2)),[1]証券コード!$A$1:$B$14,2,1)</f>
        <v>運輸・通信・電気・ガス・サービス</v>
      </c>
      <c r="F110" s="33" t="s">
        <v>22702</v>
      </c>
      <c r="G110" s="33" t="s">
        <v>22677</v>
      </c>
      <c r="J110" s="8" t="str">
        <f t="shared" si="20"/>
        <v>2004年5月27日</v>
      </c>
      <c r="K110" s="8" t="s">
        <v>22252</v>
      </c>
      <c r="M110" s="8" t="str">
        <f>VLOOKUP(D110,NKcode!$B$9:$C$6121,2,FALSE)</f>
        <v>0002090</v>
      </c>
      <c r="N110" s="8" t="str">
        <f t="shared" si="10"/>
        <v>N0002090</v>
      </c>
    </row>
    <row r="111" spans="1:15" x14ac:dyDescent="0.15">
      <c r="A111" s="8" t="s">
        <v>22426</v>
      </c>
      <c r="B111" s="18"/>
      <c r="C111" s="18" t="str">
        <f t="shared" si="18"/>
        <v>7307</v>
      </c>
      <c r="D111" s="51" t="str">
        <f t="shared" si="19"/>
        <v>丸石ホールディングス</v>
      </c>
      <c r="E111" s="37" t="str">
        <f>VLOOKUP(VALUE(LEFT(C111,2)),[1]証券コード!$A$1:$B$14,2,1)</f>
        <v>自動車・輸送機</v>
      </c>
      <c r="F111" s="37" t="s">
        <v>22703</v>
      </c>
      <c r="G111" s="37" t="s">
        <v>22673</v>
      </c>
      <c r="H111" s="19"/>
      <c r="I111" s="19"/>
      <c r="J111" s="18" t="str">
        <f t="shared" si="20"/>
        <v>2004年9月4日</v>
      </c>
      <c r="K111" s="18" t="s">
        <v>22362</v>
      </c>
      <c r="L111" s="18" t="s">
        <v>22678</v>
      </c>
      <c r="M111" s="18" t="str">
        <f>VLOOKUP(D111,NKcode!$B$9:$C$6121,2,FALSE)</f>
        <v>0030875</v>
      </c>
      <c r="N111" s="8" t="str">
        <f t="shared" si="10"/>
        <v>N0030875</v>
      </c>
    </row>
    <row r="112" spans="1:15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37" t="str">
        <f>VLOOKUP(VALUE(LEFT(C112,2)),[1]証券コード!$A$1:$B$14,2,1)</f>
        <v>運輸・通信・電気・ガス・サービス</v>
      </c>
      <c r="F112" s="37" t="s">
        <v>22702</v>
      </c>
      <c r="G112" s="37"/>
      <c r="H112" s="19">
        <v>1</v>
      </c>
      <c r="I112" s="19"/>
      <c r="J112" s="18" t="str">
        <f t="shared" si="20"/>
        <v>2004年12月17日</v>
      </c>
      <c r="K112" s="18" t="s">
        <v>22322</v>
      </c>
      <c r="L112" s="18"/>
      <c r="M112" s="18" t="str">
        <f>VLOOKUP(D112,NKcode!$B$9:$C$6121,2,FALSE)</f>
        <v>0001832</v>
      </c>
      <c r="N112" s="8" t="str">
        <f t="shared" si="10"/>
        <v>N0001832</v>
      </c>
      <c r="O112" s="43" t="s">
        <v>22747</v>
      </c>
    </row>
    <row r="113" spans="1:15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37" t="str">
        <f>VLOOKUP(VALUE(LEFT(C113,2)),[1]証券コード!$A$1:$B$14,2,1)</f>
        <v>運輸・通信・電気・ガス・サービス</v>
      </c>
      <c r="F113" s="37" t="s">
        <v>22703</v>
      </c>
      <c r="G113" s="37"/>
      <c r="H113" s="19">
        <v>1</v>
      </c>
      <c r="I113" s="19"/>
      <c r="J113" s="18" t="str">
        <f t="shared" si="20"/>
        <v>2004年12月26日</v>
      </c>
      <c r="K113" s="18" t="s">
        <v>22322</v>
      </c>
      <c r="L113" s="18"/>
      <c r="M113" s="18" t="str">
        <f>VLOOKUP(D113,NKcode!$B$9:$C$6121,2,FALSE)</f>
        <v>0001842</v>
      </c>
      <c r="N113" s="8" t="str">
        <f t="shared" si="10"/>
        <v>N0001842</v>
      </c>
      <c r="O113" s="43" t="s">
        <v>22748</v>
      </c>
    </row>
    <row r="114" spans="1:15" x14ac:dyDescent="0.15">
      <c r="B114" s="12" t="s">
        <v>22423</v>
      </c>
    </row>
    <row r="115" spans="1:15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37" t="str">
        <f>VLOOKUP(VALUE(LEFT(C115,2)),[1]証券コード!$A$1:$B$14,2,1)</f>
        <v>繊維・紙</v>
      </c>
      <c r="F115" s="37" t="s">
        <v>22704</v>
      </c>
      <c r="G115" s="33" t="s">
        <v>22680</v>
      </c>
      <c r="H115" s="19">
        <v>1</v>
      </c>
      <c r="I115" s="19"/>
      <c r="J115" s="18" t="str">
        <f>MID(A115,FIND("（",$A115)+1,FIND("、",$A115)-FIND("（",$A115)-1)</f>
        <v>2005年1月2日</v>
      </c>
      <c r="K115" s="18" t="s">
        <v>22322</v>
      </c>
      <c r="L115" s="18"/>
      <c r="M115" s="18" t="str">
        <f>VLOOKUP(D115,NKcode!$B$9:$C$6121,2,FALSE)</f>
        <v>0030727</v>
      </c>
      <c r="N115" s="8" t="str">
        <f t="shared" si="10"/>
        <v>N0030727</v>
      </c>
    </row>
    <row r="116" spans="1:15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37" t="str">
        <f>VLOOKUP(VALUE(LEFT(C116,2)),[1]証券コード!$A$1:$B$14,2,1)</f>
        <v>食品</v>
      </c>
      <c r="F116" s="37" t="s">
        <v>22703</v>
      </c>
      <c r="G116" s="37" t="s">
        <v>22674</v>
      </c>
      <c r="H116" s="19">
        <v>1</v>
      </c>
      <c r="I116" s="19"/>
      <c r="J116" s="18" t="str">
        <f>MID(A116,FIND("（",$A116)+1,FIND("、",$A116)-FIND("（",$A116)-1)</f>
        <v>2005年1月7日</v>
      </c>
      <c r="K116" s="18" t="s">
        <v>22421</v>
      </c>
      <c r="L116" s="18"/>
      <c r="M116" s="18" t="str">
        <f>VLOOKUP(D116,NKcode!$B$9:$C$6121,2,FALSE)</f>
        <v>0000222</v>
      </c>
      <c r="N116" s="8" t="str">
        <f t="shared" si="10"/>
        <v>N0000222</v>
      </c>
      <c r="O116" s="43" t="s">
        <v>22749</v>
      </c>
    </row>
    <row r="117" spans="1:15" x14ac:dyDescent="0.15">
      <c r="A117" s="8" t="s">
        <v>22420</v>
      </c>
      <c r="B117" s="18"/>
      <c r="C117" s="18" t="str">
        <f t="shared" si="21"/>
        <v>6341</v>
      </c>
      <c r="D117" s="51" t="str">
        <f t="shared" si="22"/>
        <v>日立造船富岡機械</v>
      </c>
      <c r="E117" s="37" t="str">
        <f>VLOOKUP(VALUE(LEFT(C117,2)),[1]証券コード!$A$1:$B$14,2,1)</f>
        <v>機械・電機</v>
      </c>
      <c r="F117" s="37" t="s">
        <v>22703</v>
      </c>
      <c r="G117" s="37" t="s">
        <v>22863</v>
      </c>
      <c r="H117" s="19"/>
      <c r="I117" s="19"/>
      <c r="J117" s="18" t="str">
        <f>MID(A117,FIND("（",$A117)+1,FIND("、",$A117)-FIND("（",$A117)-1)</f>
        <v>2005年3月26日</v>
      </c>
      <c r="K117" s="18" t="s">
        <v>22401</v>
      </c>
      <c r="L117" s="18" t="s">
        <v>22878</v>
      </c>
      <c r="M117" s="18" t="str">
        <f>VLOOKUP(D117,NKcode!$B$9:$C$6121,2,FALSE)</f>
        <v>0001062</v>
      </c>
      <c r="N117" s="8" t="str">
        <f t="shared" si="10"/>
        <v>N0001062</v>
      </c>
    </row>
    <row r="118" spans="1:15" x14ac:dyDescent="0.15">
      <c r="A118" s="8" t="s">
        <v>22419</v>
      </c>
      <c r="B118" s="18"/>
      <c r="C118" s="18" t="str">
        <f t="shared" si="21"/>
        <v>3102</v>
      </c>
      <c r="D118" s="42" t="str">
        <f t="shared" si="22"/>
        <v>カネボウ</v>
      </c>
      <c r="E118" s="37" t="str">
        <f>VLOOKUP(VALUE(LEFT(C118,2)),[1]証券コード!$A$1:$B$14,2,1)</f>
        <v>繊維・紙</v>
      </c>
      <c r="F118" s="37" t="s">
        <v>22702</v>
      </c>
      <c r="G118" s="37" t="s">
        <v>22673</v>
      </c>
      <c r="H118" s="19">
        <v>1</v>
      </c>
      <c r="I118" s="19"/>
      <c r="J118" s="18" t="str">
        <f>MID(A118,FIND("（",$A118)+1,FIND("、",$A118)-FIND("（",$A118)-1)</f>
        <v>2005年6月13日</v>
      </c>
      <c r="K118" s="18" t="s">
        <v>22322</v>
      </c>
      <c r="L118" s="18" t="s">
        <v>22606</v>
      </c>
      <c r="M118" s="48" t="s">
        <v>22880</v>
      </c>
      <c r="N118" s="8" t="str">
        <f t="shared" si="10"/>
        <v>N00003010</v>
      </c>
      <c r="O118" s="43" t="s">
        <v>22750</v>
      </c>
    </row>
    <row r="119" spans="1:15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3" t="str">
        <f>VLOOKUP(VALUE(LEFT(C119,2)),[1]証券コード!$A$1:$B$14,2,1)</f>
        <v>食品</v>
      </c>
      <c r="F119" s="33" t="s">
        <v>22704</v>
      </c>
      <c r="G119" s="33" t="s">
        <v>22853</v>
      </c>
      <c r="J119" s="8" t="str">
        <f>MID(A119,FIND("（",$A119)+1,FIND("、",$A119)-FIND("（",$A119)-1)</f>
        <v>2005年6月30日</v>
      </c>
      <c r="K119" s="8" t="s">
        <v>22317</v>
      </c>
      <c r="M119" s="8" t="str">
        <f>VLOOKUP(D119,NKcode!$B$9:$C$6121,2,FALSE)</f>
        <v>0030675</v>
      </c>
      <c r="N119" s="8" t="str">
        <f t="shared" si="10"/>
        <v>N0030675</v>
      </c>
    </row>
    <row r="120" spans="1:15" x14ac:dyDescent="0.15">
      <c r="A120" s="8" t="s">
        <v>22417</v>
      </c>
      <c r="C120" s="8" t="str">
        <f t="shared" si="21"/>
        <v>9434</v>
      </c>
      <c r="D120" s="8" t="str">
        <f t="shared" si="22"/>
        <v>ボーダフォン</v>
      </c>
      <c r="E120" s="33" t="str">
        <f>VLOOKUP(VALUE(LEFT(C120,2)),[1]証券コード!$A$1:$B$14,2,1)</f>
        <v>運輸・通信・電気・ガス・サービス</v>
      </c>
      <c r="F120" s="33" t="s">
        <v>22702</v>
      </c>
      <c r="G120" s="33" t="s">
        <v>22680</v>
      </c>
      <c r="H120" s="9">
        <v>1</v>
      </c>
      <c r="J120" s="13">
        <v>38565</v>
      </c>
      <c r="K120" s="8" t="s">
        <v>22325</v>
      </c>
      <c r="L120" s="8" t="s">
        <v>22609</v>
      </c>
      <c r="M120" s="8" t="e">
        <f>VLOOKUP(D120,NKcode!$B$9:$C$6121,2,FALSE)</f>
        <v>#N/A</v>
      </c>
      <c r="O120" s="43" t="s">
        <v>22751</v>
      </c>
    </row>
    <row r="121" spans="1:15" x14ac:dyDescent="0.15">
      <c r="A121" s="8" t="s">
        <v>22416</v>
      </c>
      <c r="C121" s="8" t="str">
        <f t="shared" si="21"/>
        <v>1817</v>
      </c>
      <c r="D121" s="8" t="str">
        <f t="shared" si="22"/>
        <v>勝村建設</v>
      </c>
      <c r="E121" s="33" t="str">
        <f>VLOOKUP(VALUE(LEFT(C121,2)),[1]証券コード!$A$1:$B$14,2,1)</f>
        <v>建設</v>
      </c>
      <c r="F121" s="33" t="s">
        <v>22702</v>
      </c>
      <c r="G121" s="33" t="s">
        <v>22864</v>
      </c>
      <c r="J121" s="8" t="str">
        <f>MID(A121,FIND("（",$A121)+1,FIND("、",$A121)-FIND("（",$A121)-1)</f>
        <v>2005年10月30日</v>
      </c>
      <c r="K121" s="8" t="s">
        <v>22252</v>
      </c>
      <c r="L121" s="8" t="s">
        <v>22650</v>
      </c>
      <c r="M121" s="8" t="s">
        <v>285</v>
      </c>
      <c r="O121" s="43" t="s">
        <v>22752</v>
      </c>
    </row>
    <row r="122" spans="1:15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37" t="str">
        <f>VLOOKUP(VALUE(LEFT(C122,2)),[1]証券コード!$A$1:$B$14,2,1)</f>
        <v>機械・電機</v>
      </c>
      <c r="F122" s="37" t="s">
        <v>22704</v>
      </c>
      <c r="G122" s="37"/>
      <c r="H122" s="19">
        <v>1</v>
      </c>
      <c r="I122" s="19"/>
      <c r="J122" s="18" t="str">
        <f>MID(A122,FIND("（",$A122)+1,FIND("、",$A122)-FIND("（",$A122)-1)</f>
        <v>2005年11月15日</v>
      </c>
      <c r="K122" s="18" t="s">
        <v>22322</v>
      </c>
      <c r="L122" s="18" t="s">
        <v>22679</v>
      </c>
      <c r="M122" s="18" t="str">
        <f>VLOOKUP(D122,NKcode!$B$9:$C$6121,2,FALSE)</f>
        <v>0029892</v>
      </c>
      <c r="N122" s="8" t="str">
        <f t="shared" ref="N122:N185" si="23">CONCATENATE("N",M122)</f>
        <v>N0029892</v>
      </c>
    </row>
    <row r="123" spans="1:15" x14ac:dyDescent="0.15">
      <c r="A123" s="8" t="s">
        <v>22414</v>
      </c>
      <c r="C123" s="8" t="str">
        <f t="shared" si="21"/>
        <v>3596</v>
      </c>
      <c r="D123" s="45" t="str">
        <f>LEFT(A123,FIND("（",A123)-1)</f>
        <v>ワールド</v>
      </c>
      <c r="E123" s="33" t="str">
        <f>VLOOKUP(VALUE(LEFT(C123,2)),[1]証券コード!$A$1:$B$14,2,1)</f>
        <v>繊維・紙</v>
      </c>
      <c r="F123" s="33" t="s">
        <v>22702</v>
      </c>
      <c r="G123" s="33" t="s">
        <v>22865</v>
      </c>
      <c r="J123" s="8" t="str">
        <f>MID(A123,FIND("（",$A123)+1,FIND("、",$A123)-FIND("（",$A123)-1)</f>
        <v>2005年11月15日</v>
      </c>
      <c r="K123" s="8" t="s">
        <v>22413</v>
      </c>
      <c r="L123" s="8" t="s">
        <v>22879</v>
      </c>
      <c r="M123" s="8" t="str">
        <f>VLOOKUP(D123,NKcode!$B$9:$C$6121,2,FALSE)</f>
        <v>0016848</v>
      </c>
      <c r="N123" s="8" t="str">
        <f t="shared" si="23"/>
        <v>N0016848</v>
      </c>
      <c r="O123" s="43" t="s">
        <v>22753</v>
      </c>
    </row>
    <row r="124" spans="1:15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3" t="str">
        <f>VLOOKUP(VALUE(LEFT(C124,2)),[1]証券コード!$A$1:$B$14,2,1)</f>
        <v>食品</v>
      </c>
      <c r="F124" s="33" t="s">
        <v>22702</v>
      </c>
      <c r="G124" s="33" t="s">
        <v>22674</v>
      </c>
      <c r="J124" s="8" t="str">
        <f>MID(A124,FIND("（",$A124)+1,FIND("、",$A124)-FIND("（",$A124)-1)</f>
        <v>2005年12月5日</v>
      </c>
      <c r="K124" s="8" t="s">
        <v>22411</v>
      </c>
      <c r="M124" s="8" t="str">
        <f>VLOOKUP(D124,NKcode!$B$9:$C$6121,2,FALSE)</f>
        <v>0015807</v>
      </c>
      <c r="N124" s="8" t="str">
        <f t="shared" si="23"/>
        <v>N0015807</v>
      </c>
      <c r="O124" s="43" t="s">
        <v>22754</v>
      </c>
    </row>
    <row r="125" spans="1:15" x14ac:dyDescent="0.15">
      <c r="B125" s="12" t="s">
        <v>22410</v>
      </c>
    </row>
    <row r="126" spans="1:15" ht="26.25" x14ac:dyDescent="0.15">
      <c r="A126" s="8" t="s">
        <v>22409</v>
      </c>
      <c r="C126" s="8" t="str">
        <f>MID(A126,FIND("）",A126)-4,4)</f>
        <v>8180</v>
      </c>
      <c r="D126" s="8" t="str">
        <f>LEFT(A126,FIND("（",A126)-1)</f>
        <v>すかいらーく</v>
      </c>
      <c r="E126" s="33" t="str">
        <f>VLOOKUP(VALUE(LEFT(C126,2)),[1]証券コード!$A$1:$B$14,2,1)</f>
        <v>金融・商業・不動産</v>
      </c>
      <c r="F126" s="33" t="s">
        <v>22702</v>
      </c>
      <c r="G126" s="33" t="s">
        <v>22667</v>
      </c>
      <c r="H126" s="9">
        <v>1</v>
      </c>
      <c r="J126" s="8" t="str">
        <f>MID(A126,FIND("（",$A126)+1,FIND("、",$A126)-FIND("（",$A126)-1)</f>
        <v>2006年9月19日</v>
      </c>
      <c r="K126" s="8" t="s">
        <v>22408</v>
      </c>
      <c r="M126" s="8" t="str">
        <f>VLOOKUP(D126,NKcode!$B$9:$C$6121,2,FALSE)</f>
        <v>0012655</v>
      </c>
      <c r="N126" s="8" t="str">
        <f t="shared" si="23"/>
        <v>N0012655</v>
      </c>
      <c r="O126" s="43" t="s">
        <v>22755</v>
      </c>
    </row>
    <row r="127" spans="1:15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37" t="str">
        <f>VLOOKUP(VALUE(LEFT(C127,2)),[1]証券コード!$A$1:$B$14,2,1)</f>
        <v>化学・薬品</v>
      </c>
      <c r="F127" s="37" t="s">
        <v>22704</v>
      </c>
      <c r="G127" s="37" t="s">
        <v>22680</v>
      </c>
      <c r="H127" s="19">
        <v>1</v>
      </c>
      <c r="I127" s="19"/>
      <c r="J127" s="30">
        <v>38821</v>
      </c>
      <c r="K127" s="18" t="s">
        <v>22322</v>
      </c>
      <c r="L127" s="18" t="s">
        <v>22866</v>
      </c>
      <c r="M127" s="18" t="s">
        <v>13761</v>
      </c>
      <c r="N127" s="8" t="str">
        <f t="shared" si="23"/>
        <v>N0030250</v>
      </c>
      <c r="O127" s="43" t="s">
        <v>22756</v>
      </c>
    </row>
    <row r="128" spans="1:15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3" t="str">
        <f>VLOOKUP(VALUE(LEFT(C128,2)),[1]証券コード!$A$1:$B$14,2,1)</f>
        <v>化学・薬品</v>
      </c>
      <c r="F128" s="33" t="s">
        <v>22704</v>
      </c>
      <c r="G128" s="33" t="s">
        <v>22667</v>
      </c>
      <c r="H128" s="9">
        <v>1</v>
      </c>
      <c r="J128" s="13">
        <v>38821</v>
      </c>
      <c r="K128" s="8" t="s">
        <v>22405</v>
      </c>
      <c r="M128" s="8" t="s">
        <v>13792</v>
      </c>
      <c r="N128" s="8" t="str">
        <f t="shared" si="23"/>
        <v>N0030261</v>
      </c>
    </row>
    <row r="129" spans="1:15" x14ac:dyDescent="0.15">
      <c r="B129" s="12" t="s">
        <v>22404</v>
      </c>
    </row>
    <row r="130" spans="1:15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3" t="str">
        <f>VLOOKUP(VALUE(LEFT(C130,2)),[1]証券コード!$A$1:$B$14,2,1)</f>
        <v>化学・薬品</v>
      </c>
      <c r="F130" s="33" t="s">
        <v>22703</v>
      </c>
      <c r="G130" s="33" t="s">
        <v>22680</v>
      </c>
      <c r="J130" s="8" t="str">
        <f>MID(A130,FIND("（",$A130)+1,FIND("、",$A130)-FIND("（",$A130)-1)</f>
        <v>2007年2月22日</v>
      </c>
      <c r="K130" s="8" t="s">
        <v>22252</v>
      </c>
      <c r="M130" s="8" t="str">
        <f>VLOOKUP(D130,NKcode!$B$9:$C$6121,2,FALSE)</f>
        <v>0030490</v>
      </c>
      <c r="N130" s="8" t="str">
        <f t="shared" si="23"/>
        <v>N0030490</v>
      </c>
      <c r="O130" s="43" t="s">
        <v>22757</v>
      </c>
    </row>
    <row r="131" spans="1:15" x14ac:dyDescent="0.15">
      <c r="A131" s="8" t="s">
        <v>22402</v>
      </c>
      <c r="B131" s="18"/>
      <c r="C131" s="18" t="str">
        <f t="shared" si="24"/>
        <v>2596</v>
      </c>
      <c r="D131" s="45" t="str">
        <f t="shared" si="25"/>
        <v>キューサイ</v>
      </c>
      <c r="E131" s="37" t="str">
        <f>VLOOKUP(VALUE(LEFT(C131,2)),[1]証券コード!$A$1:$B$14,2,1)</f>
        <v>食品</v>
      </c>
      <c r="F131" s="37" t="s">
        <v>22703</v>
      </c>
      <c r="G131" s="37" t="s">
        <v>22865</v>
      </c>
      <c r="H131" s="19">
        <v>1</v>
      </c>
      <c r="I131" s="19"/>
      <c r="J131" s="18" t="str">
        <f>MID(A131,FIND("（",$A131)+1,FIND("、",$A131)-FIND("（",$A131)-1)</f>
        <v>2007年3月23日</v>
      </c>
      <c r="K131" s="18" t="s">
        <v>22681</v>
      </c>
      <c r="L131" s="18"/>
      <c r="M131" s="18" t="str">
        <f>VLOOKUP(D131,NKcode!$B$9:$C$6121,2,FALSE)</f>
        <v>0030082</v>
      </c>
      <c r="N131" s="8" t="str">
        <f t="shared" si="23"/>
        <v>N0030082</v>
      </c>
    </row>
    <row r="132" spans="1:15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37" t="str">
        <f>VLOOKUP(VALUE(LEFT(C132,2)),[1]証券コード!$A$1:$B$14,2,1)</f>
        <v>化学・薬品</v>
      </c>
      <c r="F132" s="37" t="s">
        <v>22704</v>
      </c>
      <c r="G132" s="37" t="s">
        <v>22680</v>
      </c>
      <c r="H132" s="19">
        <v>1</v>
      </c>
      <c r="I132" s="19"/>
      <c r="J132" s="18" t="str">
        <f>MID(A132,FIND("（",$A132)+1,FIND("、",$A132)-FIND("（",$A132)-1)</f>
        <v>2007年6月24日</v>
      </c>
      <c r="K132" s="18" t="s">
        <v>22362</v>
      </c>
      <c r="L132" s="18"/>
      <c r="M132" s="18" t="str">
        <f>VLOOKUP(D132,NKcode!$B$9:$C$6121,2,FALSE)</f>
        <v>0030229</v>
      </c>
      <c r="N132" s="8" t="str">
        <f t="shared" si="23"/>
        <v>N0030229</v>
      </c>
    </row>
    <row r="133" spans="1:15" x14ac:dyDescent="0.15">
      <c r="A133" s="8" t="s">
        <v>22399</v>
      </c>
      <c r="C133" s="8" t="str">
        <f t="shared" si="24"/>
        <v>7210</v>
      </c>
      <c r="D133" s="45" t="str">
        <f t="shared" si="25"/>
        <v>UDトラックス</v>
      </c>
      <c r="E133" s="33" t="str">
        <f>VLOOKUP(VALUE(LEFT(C133,2)),[1]証券コード!$A$1:$B$14,2,1)</f>
        <v>自動車・輸送機</v>
      </c>
      <c r="F133" s="33" t="s">
        <v>22702</v>
      </c>
      <c r="G133" s="33" t="s">
        <v>22867</v>
      </c>
      <c r="H133" s="9">
        <v>1</v>
      </c>
      <c r="J133" s="13">
        <v>39286</v>
      </c>
      <c r="K133" s="8" t="s">
        <v>22398</v>
      </c>
      <c r="L133" s="8" t="s">
        <v>22611</v>
      </c>
      <c r="M133" s="8" t="e">
        <f>VLOOKUP(D133,NKcode!$B$9:$C$6121,2,FALSE)</f>
        <v>#N/A</v>
      </c>
      <c r="O133" s="43" t="s">
        <v>22758</v>
      </c>
    </row>
    <row r="134" spans="1:15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3" t="str">
        <f>VLOOKUP(VALUE(LEFT(C134,2)),[1]証券コード!$A$1:$B$14,2,1)</f>
        <v>金融・商業・不動産</v>
      </c>
      <c r="F134" s="33" t="s">
        <v>22702</v>
      </c>
      <c r="G134" s="33" t="s">
        <v>22682</v>
      </c>
      <c r="H134" s="9">
        <v>1</v>
      </c>
      <c r="J134" s="8" t="str">
        <f>MID(A134,FIND("（",$A134)+1,FIND("、",$A134)-FIND("（",$A134)-1)</f>
        <v>2007年9月13日</v>
      </c>
      <c r="K134" s="8" t="s">
        <v>22396</v>
      </c>
      <c r="M134" s="8" t="str">
        <f>VLOOKUP(D134,NKcode!$B$9:$C$6121,2,FALSE)</f>
        <v>0070192</v>
      </c>
      <c r="N134" s="8" t="str">
        <f t="shared" si="23"/>
        <v>N0070192</v>
      </c>
      <c r="O134" s="43" t="s">
        <v>22759</v>
      </c>
    </row>
    <row r="135" spans="1:15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37" t="str">
        <f>VLOOKUP(VALUE(LEFT(C135,2)),[1]証券コード!$A$1:$B$14,2,1)</f>
        <v>繊維・紙</v>
      </c>
      <c r="F135" s="37" t="s">
        <v>22704</v>
      </c>
      <c r="G135" s="37" t="s">
        <v>22680</v>
      </c>
      <c r="H135" s="19">
        <v>1</v>
      </c>
      <c r="I135" s="19"/>
      <c r="J135" s="18" t="str">
        <f>MID(A135,FIND("（",$A135)+1,FIND("、",$A135)-FIND("（",$A135)-1)</f>
        <v>2007年10月13日</v>
      </c>
      <c r="K135" s="18" t="s">
        <v>22362</v>
      </c>
      <c r="L135" s="18"/>
      <c r="M135" s="18" t="str">
        <f>VLOOKUP(D135,NKcode!$B$9:$C$6121,2,FALSE)</f>
        <v>0035521</v>
      </c>
      <c r="N135" s="8" t="str">
        <f t="shared" si="23"/>
        <v>N0035521</v>
      </c>
      <c r="O135" s="43" t="s">
        <v>22760</v>
      </c>
    </row>
    <row r="136" spans="1:15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3" t="str">
        <f>VLOOKUP(VALUE(LEFT(C136,2)),[1]証券コード!$A$1:$B$14,2,1)</f>
        <v>金融・商業・不動産</v>
      </c>
      <c r="F136" s="33" t="s">
        <v>22702</v>
      </c>
      <c r="G136" s="33" t="s">
        <v>22666</v>
      </c>
      <c r="J136" s="8" t="str">
        <f>MID(A136,FIND("（",$A136)+1,FIND("、",$A136)-FIND("（",$A136)-1)</f>
        <v>2007年10月15日</v>
      </c>
      <c r="K136" s="8" t="s">
        <v>22252</v>
      </c>
      <c r="M136" s="8" t="str">
        <f>VLOOKUP(D136,NKcode!$B$9:$C$6121,2,FALSE)</f>
        <v>0091009</v>
      </c>
      <c r="N136" s="8" t="str">
        <f t="shared" si="23"/>
        <v>N0091009</v>
      </c>
    </row>
    <row r="137" spans="1:15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3" t="str">
        <f>VLOOKUP(VALUE(LEFT(C137,2)),[1]証券コード!$A$1:$B$14,2,1)</f>
        <v>建設</v>
      </c>
      <c r="F137" s="33" t="s">
        <v>22702</v>
      </c>
      <c r="G137" s="33" t="s">
        <v>22672</v>
      </c>
      <c r="J137" s="8" t="str">
        <f>MID(A137,FIND("（",$A137)+1,FIND("、",$A137)-FIND("（",$A137)-1)</f>
        <v>2007年10月28日</v>
      </c>
      <c r="K137" s="8" t="s">
        <v>22252</v>
      </c>
      <c r="M137" s="8" t="str">
        <f>VLOOKUP(D137,NKcode!$B$9:$C$6121,2,FALSE)</f>
        <v>0014700</v>
      </c>
      <c r="N137" s="8" t="str">
        <f t="shared" si="23"/>
        <v>N0014700</v>
      </c>
      <c r="O137" s="43" t="s">
        <v>22761</v>
      </c>
    </row>
    <row r="138" spans="1:15" x14ac:dyDescent="0.15">
      <c r="B138" s="12" t="s">
        <v>22392</v>
      </c>
    </row>
    <row r="139" spans="1:15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7" si="27">LEFT(A139,FIND("（",A139)-1)</f>
        <v>シンプレクス・インベストメント・アドバイザーズ</v>
      </c>
      <c r="E139" s="37" t="str">
        <f>VLOOKUP(VALUE(LEFT(C139,2)),[1]証券コード!$A$1:$B$14,2,1)</f>
        <v>金融・商業・不動産</v>
      </c>
      <c r="F139" s="37" t="s">
        <v>22704</v>
      </c>
      <c r="G139" s="37" t="s">
        <v>22666</v>
      </c>
      <c r="H139" s="19"/>
      <c r="I139" s="19"/>
      <c r="J139" s="18" t="str">
        <f t="shared" ref="J139:J144" si="28">MID(A139,FIND("（",$A139)+1,FIND("、",$A139)-FIND("（",$A139)-1)</f>
        <v>2008年3月9日</v>
      </c>
      <c r="K139" s="18" t="s">
        <v>22389</v>
      </c>
      <c r="L139" s="18"/>
      <c r="M139" s="18" t="s">
        <v>22618</v>
      </c>
      <c r="N139" s="8" t="str">
        <f t="shared" si="23"/>
        <v>N0028707</v>
      </c>
      <c r="O139" s="43" t="s">
        <v>22762</v>
      </c>
    </row>
    <row r="140" spans="1:15" x14ac:dyDescent="0.15">
      <c r="A140" s="18" t="s">
        <v>22390</v>
      </c>
      <c r="B140" s="18"/>
      <c r="C140" s="18" t="str">
        <f t="shared" si="26"/>
        <v>6825</v>
      </c>
      <c r="D140" s="44" t="str">
        <f t="shared" si="27"/>
        <v>パトライト</v>
      </c>
      <c r="E140" s="37" t="str">
        <f>VLOOKUP(VALUE(LEFT(C140,2)),[1]証券コード!$A$1:$B$14,2,1)</f>
        <v>機械・電機</v>
      </c>
      <c r="F140" s="37" t="s">
        <v>22702</v>
      </c>
      <c r="G140" s="37" t="s">
        <v>22669</v>
      </c>
      <c r="H140" s="19"/>
      <c r="I140" s="19"/>
      <c r="J140" s="18" t="str">
        <f t="shared" si="28"/>
        <v>2008年3月21日</v>
      </c>
      <c r="K140" s="18" t="s">
        <v>22325</v>
      </c>
      <c r="L140" s="18"/>
      <c r="M140" s="18" t="str">
        <f>VLOOKUP(D140,NKcode!$B$9:$C$6121,2,FALSE)</f>
        <v>0023583</v>
      </c>
      <c r="N140" s="8" t="str">
        <f t="shared" si="23"/>
        <v>N0023583</v>
      </c>
      <c r="O140" s="43" t="s">
        <v>22763</v>
      </c>
    </row>
    <row r="141" spans="1:15" x14ac:dyDescent="0.15">
      <c r="A141" s="8" t="s">
        <v>22388</v>
      </c>
      <c r="C141" s="8" t="str">
        <f t="shared" si="26"/>
        <v>4797</v>
      </c>
      <c r="D141" s="8" t="str">
        <f t="shared" si="27"/>
        <v>オーベン</v>
      </c>
      <c r="E141" s="33" t="str">
        <f>VLOOKUP(VALUE(LEFT(C141,2)),[1]証券コード!$A$1:$B$14,2,1)</f>
        <v>化学・薬品</v>
      </c>
      <c r="F141" s="33" t="s">
        <v>22704</v>
      </c>
      <c r="G141" s="33" t="s">
        <v>22667</v>
      </c>
      <c r="H141" s="9">
        <v>1</v>
      </c>
      <c r="J141" s="8" t="str">
        <f t="shared" si="28"/>
        <v>2008年4月19日</v>
      </c>
      <c r="K141" s="8" t="s">
        <v>22387</v>
      </c>
      <c r="L141" s="8" t="s">
        <v>22860</v>
      </c>
      <c r="M141" s="8" t="e">
        <f>VLOOKUP(D141,NKcode!$B$9:$C$6121,2,FALSE)</f>
        <v>#N/A</v>
      </c>
      <c r="O141" s="43" t="s">
        <v>22764</v>
      </c>
    </row>
    <row r="142" spans="1:15" x14ac:dyDescent="0.15">
      <c r="A142" s="8" t="s">
        <v>22613</v>
      </c>
      <c r="C142" s="8" t="str">
        <f t="shared" si="26"/>
        <v>2731</v>
      </c>
      <c r="D142" s="32" t="s">
        <v>22612</v>
      </c>
      <c r="E142" s="33" t="str">
        <f>VLOOKUP(VALUE(LEFT(C142,2)),[1]証券コード!$A$1:$B$14,2,1)</f>
        <v>食品</v>
      </c>
      <c r="F142" s="33" t="s">
        <v>22703</v>
      </c>
      <c r="G142" s="33" t="s">
        <v>22683</v>
      </c>
      <c r="J142" s="8" t="str">
        <f t="shared" si="28"/>
        <v>2008年6月1日</v>
      </c>
      <c r="K142" s="8" t="s">
        <v>22252</v>
      </c>
      <c r="M142" s="8" t="str">
        <f>VLOOKUP(D142,NKcode!$B$9:$C$6121,2,FALSE)</f>
        <v>0030574</v>
      </c>
      <c r="N142" s="8" t="str">
        <f t="shared" si="23"/>
        <v>N0030574</v>
      </c>
      <c r="O142" s="43" t="s">
        <v>22765</v>
      </c>
    </row>
    <row r="143" spans="1:15" x14ac:dyDescent="0.15">
      <c r="A143" s="8" t="s">
        <v>22386</v>
      </c>
      <c r="C143" s="8" t="str">
        <f t="shared" si="26"/>
        <v>3304</v>
      </c>
      <c r="D143" s="40" t="str">
        <f>LEFT(A143,FIND("（",A143)-1)</f>
        <v>トスコ</v>
      </c>
      <c r="E143" s="33" t="str">
        <f>VLOOKUP(VALUE(LEFT(C143,2)),[1]証券コード!$A$1:$B$14,2,1)</f>
        <v>繊維・紙</v>
      </c>
      <c r="F143" s="33" t="s">
        <v>22703</v>
      </c>
      <c r="G143" s="33" t="s">
        <v>22684</v>
      </c>
      <c r="J143" s="8" t="str">
        <f t="shared" si="28"/>
        <v>2008年7月1日</v>
      </c>
      <c r="K143" s="8" t="s">
        <v>22320</v>
      </c>
      <c r="M143" s="8" t="str">
        <f>VLOOKUP(D143,NKcode!$B$9:$C$6121,2,FALSE)</f>
        <v>0000342</v>
      </c>
      <c r="N143" s="8" t="str">
        <f t="shared" si="23"/>
        <v>N0000342</v>
      </c>
      <c r="O143" s="43" t="s">
        <v>22766</v>
      </c>
    </row>
    <row r="144" spans="1:15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3" t="str">
        <f>VLOOKUP(VALUE(LEFT(C144,2)),[1]証券コード!$A$1:$B$14,2,1)</f>
        <v>建設</v>
      </c>
      <c r="F144" s="33" t="s">
        <v>22703</v>
      </c>
      <c r="G144" s="33" t="s">
        <v>22685</v>
      </c>
      <c r="J144" s="8" t="str">
        <f t="shared" si="28"/>
        <v>2008年7月25日</v>
      </c>
      <c r="K144" s="8" t="s">
        <v>22252</v>
      </c>
      <c r="L144" s="8" t="s">
        <v>22614</v>
      </c>
      <c r="M144" s="8" t="s">
        <v>22619</v>
      </c>
      <c r="N144" s="8" t="str">
        <f t="shared" si="23"/>
        <v>N0010321</v>
      </c>
      <c r="O144" s="43" t="s">
        <v>22767</v>
      </c>
    </row>
    <row r="145" spans="1:15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3" t="str">
        <f>VLOOKUP(VALUE(LEFT(C145,2)),[1]証券コード!$A$1:$B$14,2,1)</f>
        <v>金融・商業・不動産</v>
      </c>
      <c r="F145" s="33" t="s">
        <v>22702</v>
      </c>
      <c r="G145" s="33" t="s">
        <v>22666</v>
      </c>
      <c r="J145" s="13">
        <v>39656</v>
      </c>
      <c r="K145" s="8" t="s">
        <v>22383</v>
      </c>
      <c r="M145" s="8" t="str">
        <f>VLOOKUP(D145,NKcode!$B$9:$C$6121,2,FALSE)</f>
        <v>0070104</v>
      </c>
      <c r="N145" s="8" t="str">
        <f t="shared" si="23"/>
        <v>N0070104</v>
      </c>
      <c r="O145" s="43" t="s">
        <v>22768</v>
      </c>
    </row>
    <row r="146" spans="1:15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3" t="str">
        <f>VLOOKUP(VALUE(LEFT(C146,2)),[1]証券コード!$A$1:$B$14,2,1)</f>
        <v>建設</v>
      </c>
      <c r="F146" s="33" t="s">
        <v>22702</v>
      </c>
      <c r="G146" s="33" t="s">
        <v>22672</v>
      </c>
      <c r="J146" s="8" t="str">
        <f t="shared" ref="J146:J159" si="29">MID(A146,FIND("（",$A146)+1,FIND("、",$A146)-FIND("（",$A146)-1)</f>
        <v>2008年8月6日</v>
      </c>
      <c r="K146" s="8" t="s">
        <v>22252</v>
      </c>
      <c r="L146" s="8" t="s">
        <v>22615</v>
      </c>
      <c r="M146" s="8" t="str">
        <f>VLOOKUP(D146,NKcode!$B$9:$C$6121,2,FALSE)</f>
        <v>0000096</v>
      </c>
      <c r="N146" s="8" t="str">
        <f t="shared" si="23"/>
        <v>N0000096</v>
      </c>
      <c r="O146" s="43" t="s">
        <v>22769</v>
      </c>
    </row>
    <row r="147" spans="1:15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3" t="str">
        <f>VLOOKUP(VALUE(LEFT(C147,2)),[1]証券コード!$A$1:$B$14,2,1)</f>
        <v>金融・商業・不動産</v>
      </c>
      <c r="F147" s="33" t="s">
        <v>22702</v>
      </c>
      <c r="G147" s="33" t="s">
        <v>22664</v>
      </c>
      <c r="J147" s="8" t="str">
        <f t="shared" si="29"/>
        <v>2008年8月19日</v>
      </c>
      <c r="K147" s="8" t="s">
        <v>22252</v>
      </c>
      <c r="M147" s="8" t="str">
        <f>VLOOKUP(D147,NKcode!$B$9:$C$6121,2,FALSE)</f>
        <v>0030277</v>
      </c>
      <c r="N147" s="8" t="str">
        <f t="shared" si="23"/>
        <v>N0030277</v>
      </c>
      <c r="O147" s="43" t="s">
        <v>22770</v>
      </c>
    </row>
    <row r="148" spans="1:15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3" t="str">
        <f>VLOOKUP(VALUE(LEFT(C148,2)),[1]証券コード!$A$1:$B$14,2,1)</f>
        <v>金融・商業・不動産</v>
      </c>
      <c r="F148" s="33" t="s">
        <v>22702</v>
      </c>
      <c r="G148" s="33" t="s">
        <v>22664</v>
      </c>
      <c r="J148" s="8" t="str">
        <f t="shared" si="29"/>
        <v>2008年9月14日</v>
      </c>
      <c r="K148" s="8" t="s">
        <v>22252</v>
      </c>
      <c r="M148" s="8" t="str">
        <f>VLOOKUP(D148,NKcode!$B$9:$C$6121,2,FALSE)</f>
        <v>0030012</v>
      </c>
      <c r="N148" s="8" t="str">
        <f t="shared" si="23"/>
        <v>N0030012</v>
      </c>
      <c r="O148" s="43" t="s">
        <v>22771</v>
      </c>
    </row>
    <row r="149" spans="1:15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3" t="str">
        <f>VLOOKUP(VALUE(LEFT(C149,2)),[1]証券コード!$A$1:$B$14,2,1)</f>
        <v>金融・商業・不動産</v>
      </c>
      <c r="F149" s="33" t="s">
        <v>22702</v>
      </c>
      <c r="G149" s="33" t="s">
        <v>22664</v>
      </c>
      <c r="J149" s="8" t="str">
        <f t="shared" si="29"/>
        <v>2008年9月27日</v>
      </c>
      <c r="K149" s="8" t="s">
        <v>22252</v>
      </c>
      <c r="M149" s="8" t="str">
        <f>VLOOKUP(D149,NKcode!$B$9:$C$6121,2,FALSE)</f>
        <v>0035358</v>
      </c>
      <c r="N149" s="8" t="str">
        <f t="shared" si="23"/>
        <v>N0035358</v>
      </c>
      <c r="O149" s="43" t="s">
        <v>22772</v>
      </c>
    </row>
    <row r="150" spans="1:15" x14ac:dyDescent="0.15">
      <c r="A150" s="8" t="s">
        <v>22378</v>
      </c>
      <c r="B150" s="18"/>
      <c r="C150" s="18" t="str">
        <f t="shared" si="26"/>
        <v>3409</v>
      </c>
      <c r="D150" s="44" t="str">
        <f t="shared" si="27"/>
        <v>北日本紡績</v>
      </c>
      <c r="E150" s="37" t="str">
        <f>VLOOKUP(VALUE(LEFT(C150,2)),[1]証券コード!$A$1:$B$14,2,1)</f>
        <v>繊維・紙</v>
      </c>
      <c r="F150" s="37" t="s">
        <v>22703</v>
      </c>
      <c r="G150" s="37" t="s">
        <v>22676</v>
      </c>
      <c r="H150" s="19">
        <v>1</v>
      </c>
      <c r="I150" s="19"/>
      <c r="J150" s="18" t="str">
        <f t="shared" si="29"/>
        <v>2008年9月30日</v>
      </c>
      <c r="K150" s="18" t="s">
        <v>22351</v>
      </c>
      <c r="L150" s="18" t="s">
        <v>22879</v>
      </c>
      <c r="M150" s="18" t="str">
        <f>VLOOKUP(D150,NKcode!$B$9:$C$6121,2,FALSE)</f>
        <v>0000387</v>
      </c>
      <c r="N150" s="8" t="str">
        <f t="shared" si="23"/>
        <v>N0000387</v>
      </c>
      <c r="O150" s="43" t="s">
        <v>22773</v>
      </c>
    </row>
    <row r="151" spans="1:15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3" t="str">
        <f>VLOOKUP(VALUE(LEFT(C151,2)),[1]証券コード!$A$1:$B$14,2,1)</f>
        <v>金融・商業・不動産</v>
      </c>
      <c r="F151" s="33" t="s">
        <v>22704</v>
      </c>
      <c r="G151" s="33" t="s">
        <v>22666</v>
      </c>
      <c r="J151" s="8" t="str">
        <f t="shared" si="29"/>
        <v>2008年10月9日</v>
      </c>
      <c r="K151" s="8" t="s">
        <v>22317</v>
      </c>
      <c r="M151" s="8" t="str">
        <f>VLOOKUP(D151,NKcode!$B$9:$C$6121,2,FALSE)</f>
        <v>0030979</v>
      </c>
      <c r="N151" s="8" t="str">
        <f t="shared" si="23"/>
        <v>N0030979</v>
      </c>
      <c r="O151" s="43" t="s">
        <v>22774</v>
      </c>
    </row>
    <row r="152" spans="1:15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3" t="str">
        <f>VLOOKUP(VALUE(LEFT(C152,2)),[1]証券コード!$A$1:$B$14,2,1)</f>
        <v>食品</v>
      </c>
      <c r="F152" s="33" t="s">
        <v>22703</v>
      </c>
      <c r="G152" s="33" t="s">
        <v>22686</v>
      </c>
      <c r="J152" s="8" t="str">
        <f t="shared" si="29"/>
        <v>2008年10月26日</v>
      </c>
      <c r="K152" s="8" t="s">
        <v>22252</v>
      </c>
      <c r="M152" s="8" t="str">
        <f>VLOOKUP(D152,NKcode!$B$9:$C$6121,2,FALSE)</f>
        <v>0031200</v>
      </c>
      <c r="N152" s="8" t="str">
        <f t="shared" si="23"/>
        <v>N0031200</v>
      </c>
      <c r="O152" s="43" t="s">
        <v>22775</v>
      </c>
    </row>
    <row r="153" spans="1:15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3" t="str">
        <f>VLOOKUP(VALUE(LEFT(C153,2)),[1]証券コード!$A$1:$B$14,2,1)</f>
        <v>金融・商業・不動産</v>
      </c>
      <c r="F153" s="33" t="s">
        <v>22702</v>
      </c>
      <c r="G153" s="33" t="s">
        <v>22664</v>
      </c>
      <c r="J153" s="8" t="str">
        <f t="shared" si="29"/>
        <v>2008年10月27日</v>
      </c>
      <c r="K153" s="8" t="s">
        <v>22252</v>
      </c>
      <c r="M153" s="8" t="str">
        <f>VLOOKUP(D153,NKcode!$B$9:$C$6121,2,FALSE)</f>
        <v>0030816</v>
      </c>
      <c r="N153" s="8" t="str">
        <f t="shared" si="23"/>
        <v>N0030816</v>
      </c>
      <c r="O153" s="43" t="s">
        <v>22776</v>
      </c>
    </row>
    <row r="154" spans="1:15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3" t="str">
        <f>VLOOKUP(VALUE(LEFT(C154,2)),[1]証券コード!$A$1:$B$14,2,1)</f>
        <v>金融・商業・不動産</v>
      </c>
      <c r="F154" s="33" t="s">
        <v>22703</v>
      </c>
      <c r="G154" s="33" t="s">
        <v>22664</v>
      </c>
      <c r="J154" s="8" t="str">
        <f t="shared" si="29"/>
        <v>2008年10月30日</v>
      </c>
      <c r="K154" s="8" t="s">
        <v>22373</v>
      </c>
      <c r="M154" s="8" t="str">
        <f>VLOOKUP(D154,NKcode!$B$9:$C$6121,2,FALSE)</f>
        <v>0031108</v>
      </c>
      <c r="N154" s="8" t="str">
        <f t="shared" si="23"/>
        <v>N0031108</v>
      </c>
      <c r="O154" s="43" t="s">
        <v>22777</v>
      </c>
    </row>
    <row r="155" spans="1:15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3" t="str">
        <f>VLOOKUP(VALUE(LEFT(C155,2)),[1]証券コード!$A$1:$B$14,2,1)</f>
        <v>建設</v>
      </c>
      <c r="F155" s="33" t="s">
        <v>22703</v>
      </c>
      <c r="G155" s="33" t="s">
        <v>22672</v>
      </c>
      <c r="J155" s="8" t="str">
        <f t="shared" si="29"/>
        <v>2008年10月31日</v>
      </c>
      <c r="K155" s="8" t="s">
        <v>22317</v>
      </c>
      <c r="M155" s="8" t="str">
        <f>VLOOKUP(D155,NKcode!$B$9:$C$6121,2,FALSE)</f>
        <v>0000110</v>
      </c>
      <c r="N155" s="8" t="str">
        <f t="shared" si="23"/>
        <v>N0000110</v>
      </c>
      <c r="O155" s="43" t="s">
        <v>22778</v>
      </c>
    </row>
    <row r="156" spans="1:15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3" t="str">
        <f>VLOOKUP(VALUE(LEFT(C156,2)),[1]証券コード!$A$1:$B$14,2,1)</f>
        <v>建設</v>
      </c>
      <c r="F156" s="33" t="s">
        <v>22702</v>
      </c>
      <c r="G156" s="33" t="s">
        <v>22672</v>
      </c>
      <c r="J156" s="8" t="str">
        <f t="shared" si="29"/>
        <v>2008年11月1日</v>
      </c>
      <c r="K156" s="8" t="s">
        <v>22252</v>
      </c>
      <c r="M156" s="8" t="str">
        <f>VLOOKUP(D156,NKcode!$B$9:$C$6121,2,FALSE)</f>
        <v>0000107</v>
      </c>
      <c r="N156" s="8" t="str">
        <f t="shared" si="23"/>
        <v>N0000107</v>
      </c>
      <c r="O156" s="43" t="s">
        <v>22779</v>
      </c>
    </row>
    <row r="157" spans="1:15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3" t="str">
        <f>VLOOKUP(VALUE(LEFT(C157,2)),[1]証券コード!$A$1:$B$14,2,1)</f>
        <v>金融・商業・不動産</v>
      </c>
      <c r="F157" s="33" t="s">
        <v>22703</v>
      </c>
      <c r="G157" s="33" t="s">
        <v>22664</v>
      </c>
      <c r="J157" s="8" t="str">
        <f t="shared" si="29"/>
        <v>2008年11月15日</v>
      </c>
      <c r="K157" s="8" t="s">
        <v>22317</v>
      </c>
      <c r="M157" s="8" t="str">
        <f>VLOOKUP(D157,NKcode!$B$9:$C$6121,2,FALSE)</f>
        <v>0031097</v>
      </c>
      <c r="N157" s="8" t="str">
        <f t="shared" si="23"/>
        <v>N0031097</v>
      </c>
    </row>
    <row r="158" spans="1:15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3" t="str">
        <f>VLOOKUP(VALUE(LEFT(C158,2)),[1]証券コード!$A$1:$B$14,2,1)</f>
        <v>建設</v>
      </c>
      <c r="F158" s="33" t="s">
        <v>22702</v>
      </c>
      <c r="G158" s="33" t="s">
        <v>22672</v>
      </c>
      <c r="J158" s="8" t="str">
        <f t="shared" si="29"/>
        <v>2008年12月25日</v>
      </c>
      <c r="K158" s="8" t="s">
        <v>22320</v>
      </c>
      <c r="M158" s="8" t="str">
        <f>VLOOKUP(D158,NKcode!$B$9:$C$6121,2,FALSE)</f>
        <v>0010939</v>
      </c>
      <c r="N158" s="8" t="str">
        <f t="shared" si="23"/>
        <v>N0010939</v>
      </c>
      <c r="O158" s="43" t="s">
        <v>22780</v>
      </c>
    </row>
    <row r="159" spans="1:15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3" t="str">
        <f>VLOOKUP(VALUE(LEFT(C159,2)),[1]証券コード!$A$1:$B$14,2,1)</f>
        <v>金融・商業・不動産</v>
      </c>
      <c r="F159" s="33" t="s">
        <v>22703</v>
      </c>
      <c r="G159" s="33" t="s">
        <v>22664</v>
      </c>
      <c r="J159" s="8" t="str">
        <f t="shared" si="29"/>
        <v>2008年12月25日</v>
      </c>
      <c r="K159" s="8" t="s">
        <v>22252</v>
      </c>
      <c r="M159" s="8" t="str">
        <f>VLOOKUP(D159,NKcode!$B$9:$C$6121,2,FALSE)</f>
        <v>0030518</v>
      </c>
      <c r="N159" s="8" t="str">
        <f t="shared" si="23"/>
        <v>N0030518</v>
      </c>
      <c r="O159" s="43" t="s">
        <v>22781</v>
      </c>
    </row>
    <row r="160" spans="1:15" x14ac:dyDescent="0.15">
      <c r="B160" s="12" t="s">
        <v>22367</v>
      </c>
    </row>
    <row r="161" spans="1:15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3" t="str">
        <f>VLOOKUP(VALUE(LEFT(C161,2)),[1]証券コード!$A$1:$B$14,2,1)</f>
        <v>金融・商業・不動産</v>
      </c>
      <c r="F161" s="33" t="s">
        <v>22703</v>
      </c>
      <c r="G161" s="33" t="s">
        <v>22672</v>
      </c>
      <c r="J161" s="8" t="str">
        <f t="shared" ref="J161:J183" si="31">MID(A161,FIND("（",$A161)+1,FIND("、",$A161)-FIND("（",$A161)-1)</f>
        <v>2009年1月20日</v>
      </c>
      <c r="K161" s="8" t="s">
        <v>22252</v>
      </c>
      <c r="M161" s="8" t="str">
        <f>VLOOKUP(D161,NKcode!$B$9:$C$6121,2,FALSE)</f>
        <v>0048172</v>
      </c>
      <c r="N161" s="8" t="str">
        <f t="shared" si="23"/>
        <v>N0048172</v>
      </c>
      <c r="O161" s="43" t="s">
        <v>22782</v>
      </c>
    </row>
    <row r="162" spans="1:15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3" t="str">
        <f>VLOOKUP(VALUE(LEFT(C162,2)),[1]証券コード!$A$1:$B$14,2,1)</f>
        <v>金融・商業・不動産</v>
      </c>
      <c r="F162" s="33" t="s">
        <v>22702</v>
      </c>
      <c r="G162" s="33" t="s">
        <v>22664</v>
      </c>
      <c r="J162" s="8" t="str">
        <f t="shared" si="31"/>
        <v>2009年2月10日</v>
      </c>
      <c r="K162" s="8" t="s">
        <v>22320</v>
      </c>
      <c r="M162" s="8" t="str">
        <f>VLOOKUP(D162,NKcode!$B$9:$C$6121,2,FALSE)</f>
        <v>0030379</v>
      </c>
      <c r="N162" s="8" t="str">
        <f t="shared" si="23"/>
        <v>N0030379</v>
      </c>
      <c r="O162" s="43" t="s">
        <v>22783</v>
      </c>
    </row>
    <row r="163" spans="1:15" x14ac:dyDescent="0.15">
      <c r="A163" s="8" t="s">
        <v>22364</v>
      </c>
      <c r="B163" s="18"/>
      <c r="C163" s="18" t="str">
        <f t="shared" si="32"/>
        <v>6726</v>
      </c>
      <c r="D163" s="44" t="str">
        <f t="shared" si="30"/>
        <v>オー・エイチ・ティー</v>
      </c>
      <c r="E163" s="37" t="str">
        <f>VLOOKUP(VALUE(LEFT(C163,2)),[1]証券コード!$A$1:$B$14,2,1)</f>
        <v>機械・電機</v>
      </c>
      <c r="F163" s="37" t="s">
        <v>22704</v>
      </c>
      <c r="G163" s="37" t="s">
        <v>22669</v>
      </c>
      <c r="H163" s="19">
        <v>1</v>
      </c>
      <c r="I163" s="19"/>
      <c r="J163" s="18" t="str">
        <f t="shared" si="31"/>
        <v>2009年2月21日</v>
      </c>
      <c r="K163" s="18" t="s">
        <v>22322</v>
      </c>
      <c r="L163" s="18" t="s">
        <v>22651</v>
      </c>
      <c r="M163" s="18" t="str">
        <f>VLOOKUP(D163,NKcode!$B$9:$C$6121,2,FALSE)</f>
        <v>0030712</v>
      </c>
      <c r="N163" s="8" t="str">
        <f t="shared" si="23"/>
        <v>N0030712</v>
      </c>
      <c r="O163" s="43" t="s">
        <v>22784</v>
      </c>
    </row>
    <row r="164" spans="1:15" x14ac:dyDescent="0.15">
      <c r="A164" s="8" t="s">
        <v>22363</v>
      </c>
      <c r="B164" s="18"/>
      <c r="C164" s="18" t="str">
        <f t="shared" si="32"/>
        <v>6650</v>
      </c>
      <c r="D164" s="41" t="str">
        <f>LEFT(A164,FIND("（",A164)-1)</f>
        <v>春日電機</v>
      </c>
      <c r="E164" s="37" t="str">
        <f>VLOOKUP(VALUE(LEFT(C164,2)),[1]証券コード!$A$1:$B$14,2,1)</f>
        <v>機械・電機</v>
      </c>
      <c r="F164" s="37" t="s">
        <v>22703</v>
      </c>
      <c r="G164" s="37" t="s">
        <v>22669</v>
      </c>
      <c r="H164" s="19">
        <v>1</v>
      </c>
      <c r="I164" s="19"/>
      <c r="J164" s="18" t="str">
        <f t="shared" si="31"/>
        <v>2009年2月21日</v>
      </c>
      <c r="K164" s="18" t="s">
        <v>22362</v>
      </c>
      <c r="L164" s="18" t="s">
        <v>22687</v>
      </c>
      <c r="M164" s="18" t="str">
        <f>VLOOKUP(D164,NKcode!$B$9:$C$6121,2,FALSE)</f>
        <v>0001312</v>
      </c>
      <c r="N164" s="8" t="str">
        <f t="shared" si="23"/>
        <v>N0001312</v>
      </c>
      <c r="O164" s="43" t="s">
        <v>22785</v>
      </c>
    </row>
    <row r="165" spans="1:15" x14ac:dyDescent="0.15">
      <c r="A165" s="8" t="s">
        <v>22361</v>
      </c>
      <c r="C165" s="8" t="str">
        <f t="shared" si="32"/>
        <v>8146</v>
      </c>
      <c r="D165" s="40" t="str">
        <f t="shared" si="30"/>
        <v>小杉産業</v>
      </c>
      <c r="E165" s="33" t="str">
        <f>VLOOKUP(VALUE(LEFT(C165,2)),[1]証券コード!$A$1:$B$14,2,1)</f>
        <v>金融・商業・不動産</v>
      </c>
      <c r="F165" s="33" t="s">
        <v>22703</v>
      </c>
      <c r="G165" s="33" t="s">
        <v>22673</v>
      </c>
      <c r="J165" s="8" t="str">
        <f t="shared" si="31"/>
        <v>2009年3月3日</v>
      </c>
      <c r="K165" s="8" t="s">
        <v>22317</v>
      </c>
      <c r="M165" s="8" t="str">
        <f>VLOOKUP(D165,NKcode!$B$9:$C$6121,2,FALSE)</f>
        <v>0011874</v>
      </c>
      <c r="N165" s="8" t="str">
        <f t="shared" si="23"/>
        <v>N0011874</v>
      </c>
      <c r="O165" s="43" t="s">
        <v>22786</v>
      </c>
    </row>
    <row r="166" spans="1:15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3" t="str">
        <f>VLOOKUP(VALUE(LEFT(C166,2)),[1]証券コード!$A$1:$B$14,2,1)</f>
        <v>金融・商業・不動産</v>
      </c>
      <c r="F166" s="33" t="s">
        <v>22702</v>
      </c>
      <c r="G166" s="33" t="s">
        <v>22664</v>
      </c>
      <c r="J166" s="8" t="str">
        <f t="shared" si="31"/>
        <v>2009年3月6日</v>
      </c>
      <c r="K166" s="8" t="s">
        <v>22320</v>
      </c>
      <c r="L166" s="8" t="s">
        <v>22620</v>
      </c>
      <c r="M166" s="8" t="s">
        <v>13673</v>
      </c>
      <c r="N166" s="8" t="str">
        <f t="shared" si="23"/>
        <v>N0030218</v>
      </c>
      <c r="O166" s="43" t="s">
        <v>22787</v>
      </c>
    </row>
    <row r="167" spans="1:15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3" t="str">
        <f>VLOOKUP(VALUE(LEFT(C167,2)),[1]証券コード!$A$1:$B$14,2,1)</f>
        <v>金融・商業・不動産</v>
      </c>
      <c r="F167" s="33" t="s">
        <v>22703</v>
      </c>
      <c r="G167" s="33" t="s">
        <v>22664</v>
      </c>
      <c r="J167" s="8" t="str">
        <f t="shared" si="31"/>
        <v>2009年3月14日</v>
      </c>
      <c r="K167" s="8" t="s">
        <v>22252</v>
      </c>
      <c r="M167" s="8" t="str">
        <f>VLOOKUP(D167,NKcode!$B$9:$C$6121,2,FALSE)</f>
        <v>0000163</v>
      </c>
      <c r="N167" s="8" t="str">
        <f t="shared" si="23"/>
        <v>N0000163</v>
      </c>
      <c r="O167" s="43" t="s">
        <v>22788</v>
      </c>
    </row>
    <row r="168" spans="1:15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3" t="str">
        <f>VLOOKUP(VALUE(LEFT(C168,2)),[1]証券コード!$A$1:$B$14,2,1)</f>
        <v>建設</v>
      </c>
      <c r="F168" s="33" t="s">
        <v>22702</v>
      </c>
      <c r="G168" s="33" t="s">
        <v>22672</v>
      </c>
      <c r="J168" s="8" t="str">
        <f t="shared" si="31"/>
        <v>2009年3月20日</v>
      </c>
      <c r="K168" s="8" t="s">
        <v>22320</v>
      </c>
      <c r="M168" s="8" t="str">
        <f>VLOOKUP(D168,NKcode!$B$9:$C$6121,2,FALSE)</f>
        <v>0000120</v>
      </c>
      <c r="N168" s="8" t="str">
        <f t="shared" si="23"/>
        <v>N0000120</v>
      </c>
      <c r="O168" s="43" t="s">
        <v>22789</v>
      </c>
    </row>
    <row r="169" spans="1:15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3" t="str">
        <f>VLOOKUP(VALUE(LEFT(C169,2)),[1]証券コード!$A$1:$B$14,2,1)</f>
        <v>金融・商業・不動産</v>
      </c>
      <c r="F169" s="33" t="s">
        <v>22702</v>
      </c>
      <c r="G169" s="33" t="s">
        <v>22666</v>
      </c>
      <c r="J169" s="8" t="str">
        <f t="shared" si="31"/>
        <v>2009年3月24日</v>
      </c>
      <c r="K169" s="8" t="s">
        <v>22252</v>
      </c>
      <c r="M169" s="8" t="s">
        <v>7525</v>
      </c>
      <c r="N169" s="8" t="str">
        <f t="shared" si="23"/>
        <v>N0007667</v>
      </c>
      <c r="O169" s="43" t="s">
        <v>22790</v>
      </c>
    </row>
    <row r="170" spans="1:15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3" t="str">
        <f>VLOOKUP(VALUE(LEFT(C170,2)),[1]証券コード!$A$1:$B$14,2,1)</f>
        <v>金融・商業・不動産</v>
      </c>
      <c r="F170" s="33" t="s">
        <v>22702</v>
      </c>
      <c r="G170" s="33" t="s">
        <v>22666</v>
      </c>
      <c r="J170" s="8" t="str">
        <f t="shared" si="31"/>
        <v>2009年4月11日</v>
      </c>
      <c r="K170" s="8" t="s">
        <v>22320</v>
      </c>
      <c r="M170" s="8" t="str">
        <f>VLOOKUP(D170,NKcode!$B$9:$C$6121,2,FALSE)</f>
        <v>0030546</v>
      </c>
      <c r="N170" s="8" t="str">
        <f t="shared" si="23"/>
        <v>N0030546</v>
      </c>
      <c r="O170" s="43" t="s">
        <v>22791</v>
      </c>
    </row>
    <row r="171" spans="1:15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3" t="str">
        <f>VLOOKUP(VALUE(LEFT(C171,2)),[1]証券コード!$A$1:$B$14,2,1)</f>
        <v>建設</v>
      </c>
      <c r="F171" s="33" t="s">
        <v>22702</v>
      </c>
      <c r="G171" s="33" t="s">
        <v>22689</v>
      </c>
      <c r="J171" s="8" t="str">
        <f t="shared" si="31"/>
        <v>2009年4月14日</v>
      </c>
      <c r="K171" s="8" t="s">
        <v>22317</v>
      </c>
      <c r="M171" s="8" t="str">
        <f>VLOOKUP(D171,NKcode!$B$9:$C$6121,2,FALSE)</f>
        <v>0018876</v>
      </c>
      <c r="N171" s="8" t="str">
        <f t="shared" si="23"/>
        <v>N0018876</v>
      </c>
      <c r="O171" s="43" t="s">
        <v>22792</v>
      </c>
    </row>
    <row r="172" spans="1:15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3" t="str">
        <f>VLOOKUP(VALUE(LEFT(C172,2)),[1]証券コード!$A$1:$B$14,2,1)</f>
        <v>繊維・紙</v>
      </c>
      <c r="F172" s="33" t="s">
        <v>22704</v>
      </c>
      <c r="G172" s="33" t="s">
        <v>22688</v>
      </c>
      <c r="H172" s="9">
        <v>1</v>
      </c>
      <c r="J172" s="8" t="str">
        <f t="shared" si="31"/>
        <v>2009年4月28日</v>
      </c>
      <c r="K172" s="8" t="s">
        <v>22353</v>
      </c>
      <c r="L172" s="8" t="s">
        <v>22623</v>
      </c>
      <c r="M172" s="8" t="s">
        <v>15001</v>
      </c>
      <c r="N172" s="8" t="str">
        <f t="shared" si="23"/>
        <v>N0030731</v>
      </c>
      <c r="O172" s="43" t="s">
        <v>22793</v>
      </c>
    </row>
    <row r="173" spans="1:15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37" t="str">
        <f>VLOOKUP(VALUE(LEFT(C173,2)),[1]証券コード!$A$1:$B$14,2,1)</f>
        <v>食品</v>
      </c>
      <c r="F173" s="37" t="s">
        <v>22704</v>
      </c>
      <c r="G173" s="37" t="s">
        <v>22667</v>
      </c>
      <c r="H173" s="19">
        <v>1</v>
      </c>
      <c r="I173" s="19"/>
      <c r="J173" s="18" t="str">
        <f t="shared" si="31"/>
        <v>2009年5月1日</v>
      </c>
      <c r="K173" s="18" t="s">
        <v>22351</v>
      </c>
      <c r="L173" s="18" t="s">
        <v>22662</v>
      </c>
      <c r="M173" s="18" t="str">
        <f>VLOOKUP(D173,NKcode!$B$9:$C$6121,2,FALSE)</f>
        <v>0030713</v>
      </c>
      <c r="N173" s="8" t="str">
        <f t="shared" si="23"/>
        <v>N0030713</v>
      </c>
      <c r="O173" s="43" t="s">
        <v>22794</v>
      </c>
    </row>
    <row r="174" spans="1:15" x14ac:dyDescent="0.15">
      <c r="A174" s="8" t="s">
        <v>22350</v>
      </c>
      <c r="C174" s="8" t="str">
        <f t="shared" si="32"/>
        <v>2347</v>
      </c>
      <c r="D174" s="8" t="str">
        <f t="shared" si="30"/>
        <v>アイ・ビー・イーホールディングス</v>
      </c>
      <c r="E174" s="33" t="str">
        <f>VLOOKUP(VALUE(LEFT(C174,2)),[1]証券コード!$A$1:$B$14,2,1)</f>
        <v>食品</v>
      </c>
      <c r="F174" s="33" t="s">
        <v>22704</v>
      </c>
      <c r="G174" s="33" t="s">
        <v>22861</v>
      </c>
      <c r="H174" s="9">
        <v>1</v>
      </c>
      <c r="J174" s="8" t="str">
        <f t="shared" si="31"/>
        <v>2009年5月1日</v>
      </c>
      <c r="K174" s="8" t="s">
        <v>22322</v>
      </c>
      <c r="L174" s="8" t="s">
        <v>22624</v>
      </c>
      <c r="M174" s="8" t="e">
        <f>VLOOKUP(D174,NKcode!$B$9:$C$6121,2,FALSE)</f>
        <v>#N/A</v>
      </c>
      <c r="O174" s="43" t="s">
        <v>22795</v>
      </c>
    </row>
    <row r="175" spans="1:15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3" t="str">
        <f>VLOOKUP(VALUE(LEFT(C175,2)),[1]証券コード!$A$1:$B$14,2,1)</f>
        <v>金融・商業・不動産</v>
      </c>
      <c r="F175" s="33" t="s">
        <v>22702</v>
      </c>
      <c r="G175" s="33" t="s">
        <v>22664</v>
      </c>
      <c r="J175" s="8" t="str">
        <f t="shared" si="31"/>
        <v>2009年6月30日</v>
      </c>
      <c r="K175" s="8" t="s">
        <v>22320</v>
      </c>
      <c r="M175" s="8" t="str">
        <f>VLOOKUP(D175,NKcode!$B$9:$C$6121,2,FALSE)</f>
        <v>0024033</v>
      </c>
      <c r="N175" s="8" t="str">
        <f t="shared" si="23"/>
        <v>N0024033</v>
      </c>
      <c r="O175" s="43" t="s">
        <v>22796</v>
      </c>
    </row>
    <row r="176" spans="1:15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3" t="str">
        <f>VLOOKUP(VALUE(LEFT(C176,2)),[1]証券コード!$A$1:$B$14,2,1)</f>
        <v>繊維・紙</v>
      </c>
      <c r="F176" s="33" t="s">
        <v>22703</v>
      </c>
      <c r="G176" s="33" t="s">
        <v>22664</v>
      </c>
      <c r="J176" s="8" t="str">
        <f t="shared" si="31"/>
        <v>2009年5月25日</v>
      </c>
      <c r="K176" s="8" t="s">
        <v>22252</v>
      </c>
      <c r="M176" s="8" t="str">
        <f>VLOOKUP(D176,NKcode!$B$9:$C$6121,2,FALSE)</f>
        <v>0000336</v>
      </c>
      <c r="N176" s="8" t="str">
        <f t="shared" si="23"/>
        <v>N0000336</v>
      </c>
      <c r="O176" s="43" t="s">
        <v>22797</v>
      </c>
    </row>
    <row r="177" spans="1:15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37" t="str">
        <f>VLOOKUP(VALUE(LEFT(C177,2)),[1]証券コード!$A$1:$B$14,2,1)</f>
        <v>繊維・紙</v>
      </c>
      <c r="F177" s="37" t="s">
        <v>22704</v>
      </c>
      <c r="G177" s="37" t="s">
        <v>22680</v>
      </c>
      <c r="H177" s="19">
        <v>1</v>
      </c>
      <c r="I177" s="19"/>
      <c r="J177" s="18" t="str">
        <f t="shared" si="31"/>
        <v>2009年7月20日</v>
      </c>
      <c r="K177" s="18" t="s">
        <v>22346</v>
      </c>
      <c r="L177" s="18" t="s">
        <v>22868</v>
      </c>
      <c r="M177" s="18" t="str">
        <f>VLOOKUP(D177,NKcode!$B$9:$C$6121,2,FALSE)</f>
        <v>0031009</v>
      </c>
      <c r="N177" s="8" t="str">
        <f t="shared" si="23"/>
        <v>N0031009</v>
      </c>
      <c r="O177" s="43" t="s">
        <v>22798</v>
      </c>
    </row>
    <row r="178" spans="1:15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37" t="str">
        <f>VLOOKUP(VALUE(LEFT(C178,2)),[1]証券コード!$A$1:$B$14,2,1)</f>
        <v>繊維・紙</v>
      </c>
      <c r="F178" s="37" t="s">
        <v>22704</v>
      </c>
      <c r="G178" s="37" t="s">
        <v>22680</v>
      </c>
      <c r="H178" s="19">
        <v>1</v>
      </c>
      <c r="I178" s="19"/>
      <c r="J178" s="18" t="str">
        <f t="shared" si="31"/>
        <v>2009年7月30日</v>
      </c>
      <c r="K178" s="18" t="s">
        <v>22283</v>
      </c>
      <c r="L178" s="18" t="s">
        <v>22661</v>
      </c>
      <c r="M178" s="18" t="str">
        <f>VLOOKUP(D178,NKcode!$B$9:$C$6121,2,FALSE)</f>
        <v>0030948</v>
      </c>
      <c r="N178" s="8" t="str">
        <f t="shared" si="23"/>
        <v>N0030948</v>
      </c>
      <c r="O178" s="43" t="s">
        <v>22799</v>
      </c>
    </row>
    <row r="179" spans="1:15" x14ac:dyDescent="0.15">
      <c r="A179" s="8" t="s">
        <v>22344</v>
      </c>
      <c r="B179" s="18"/>
      <c r="C179" s="18" t="str">
        <f t="shared" si="32"/>
        <v>5721</v>
      </c>
      <c r="D179" s="44" t="str">
        <f t="shared" si="30"/>
        <v>エス・サイエンス</v>
      </c>
      <c r="E179" s="37" t="str">
        <f>VLOOKUP(VALUE(LEFT(C179,2)),[1]証券コード!$A$1:$B$14,2,1)</f>
        <v>資源・素材</v>
      </c>
      <c r="F179" s="37" t="s">
        <v>22702</v>
      </c>
      <c r="G179" s="37" t="s">
        <v>22690</v>
      </c>
      <c r="H179" s="19">
        <v>1</v>
      </c>
      <c r="I179" s="19"/>
      <c r="J179" s="18" t="str">
        <f t="shared" si="31"/>
        <v>2009年8月9日</v>
      </c>
      <c r="K179" s="18" t="s">
        <v>22283</v>
      </c>
      <c r="L179" s="18" t="s">
        <v>22651</v>
      </c>
      <c r="M179" s="18" t="str">
        <f>VLOOKUP(D179,NKcode!$B$9:$C$6121,2,FALSE)</f>
        <v>0000882</v>
      </c>
      <c r="N179" s="8" t="str">
        <f t="shared" si="23"/>
        <v>N0000882</v>
      </c>
      <c r="O179" s="43" t="s">
        <v>22800</v>
      </c>
    </row>
    <row r="180" spans="1:15" x14ac:dyDescent="0.15">
      <c r="A180" s="8" t="s">
        <v>22343</v>
      </c>
      <c r="C180" s="8" t="str">
        <f t="shared" si="32"/>
        <v>8024</v>
      </c>
      <c r="D180" s="40" t="str">
        <f t="shared" si="30"/>
        <v>シルバーオックス</v>
      </c>
      <c r="E180" s="33" t="str">
        <f>VLOOKUP(VALUE(LEFT(C180,2)),[1]証券コード!$A$1:$B$14,2,1)</f>
        <v>金融・商業・不動産</v>
      </c>
      <c r="F180" s="33" t="s">
        <v>22702</v>
      </c>
      <c r="G180" s="33" t="s">
        <v>22691</v>
      </c>
      <c r="J180" s="8" t="str">
        <f t="shared" si="31"/>
        <v>2009年9月16日</v>
      </c>
      <c r="K180" s="8" t="s">
        <v>22317</v>
      </c>
      <c r="M180" s="8" t="str">
        <f>VLOOKUP(D180,NKcode!$B$9:$C$6121,2,FALSE)</f>
        <v>0001568</v>
      </c>
      <c r="N180" s="8" t="str">
        <f t="shared" si="23"/>
        <v>N0001568</v>
      </c>
      <c r="O180" s="43" t="s">
        <v>22801</v>
      </c>
    </row>
    <row r="181" spans="1:15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37" t="str">
        <f>VLOOKUP(VALUE(LEFT(C181,2)),[1]証券コード!$A$1:$B$14,2,1)</f>
        <v>化学・薬品</v>
      </c>
      <c r="F181" s="37" t="s">
        <v>22703</v>
      </c>
      <c r="G181" s="37" t="s">
        <v>22667</v>
      </c>
      <c r="H181" s="19"/>
      <c r="I181" s="19"/>
      <c r="J181" s="18" t="str">
        <f t="shared" si="31"/>
        <v>2009年10月30日</v>
      </c>
      <c r="K181" s="18" t="s">
        <v>22341</v>
      </c>
      <c r="L181" s="18" t="s">
        <v>22692</v>
      </c>
      <c r="M181" s="18" t="s">
        <v>18259</v>
      </c>
      <c r="N181" s="8" t="str">
        <f t="shared" si="23"/>
        <v>N0031945</v>
      </c>
      <c r="O181" s="43" t="s">
        <v>22802</v>
      </c>
    </row>
    <row r="182" spans="1:15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3" t="str">
        <f>VLOOKUP(VALUE(LEFT(C182,2)),[1]証券コード!$A$1:$B$14,2,1)</f>
        <v>化学・薬品</v>
      </c>
      <c r="F182" s="33" t="s">
        <v>22704</v>
      </c>
      <c r="G182" s="33" t="s">
        <v>22666</v>
      </c>
      <c r="J182" s="8" t="str">
        <f t="shared" si="31"/>
        <v>2009年11月1日</v>
      </c>
      <c r="K182" s="8" t="s">
        <v>22339</v>
      </c>
      <c r="M182" s="8" t="s">
        <v>14032</v>
      </c>
      <c r="N182" s="8" t="str">
        <f t="shared" si="23"/>
        <v>N0030357</v>
      </c>
      <c r="O182" s="43" t="s">
        <v>22803</v>
      </c>
    </row>
    <row r="183" spans="1:15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3" t="str">
        <f>VLOOKUP(VALUE(LEFT(C183,2)),[1]証券コード!$A$1:$B$14,2,1)</f>
        <v>金融・商業・不動産</v>
      </c>
      <c r="F183" s="33" t="s">
        <v>22702</v>
      </c>
      <c r="G183" s="33" t="s">
        <v>22666</v>
      </c>
      <c r="J183" s="8" t="str">
        <f t="shared" si="31"/>
        <v>2009年12月3日</v>
      </c>
      <c r="K183" s="8" t="s">
        <v>22320</v>
      </c>
      <c r="L183" s="8" t="s">
        <v>22627</v>
      </c>
      <c r="M183" s="8" t="s">
        <v>7653</v>
      </c>
      <c r="N183" s="8" t="str">
        <f t="shared" si="23"/>
        <v>N0007749</v>
      </c>
      <c r="O183" s="43" t="s">
        <v>22804</v>
      </c>
    </row>
    <row r="184" spans="1:15" x14ac:dyDescent="0.15">
      <c r="B184" s="12" t="s">
        <v>22337</v>
      </c>
    </row>
    <row r="185" spans="1:15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37" t="str">
        <f>VLOOKUP(VALUE(LEFT(C185,2)),[1]証券コード!$A$1:$B$14,2,1)</f>
        <v>自動車・輸送機</v>
      </c>
      <c r="F185" s="37" t="s">
        <v>22703</v>
      </c>
      <c r="G185" s="37" t="s">
        <v>22874</v>
      </c>
      <c r="H185" s="19">
        <v>1</v>
      </c>
      <c r="I185" s="19"/>
      <c r="J185" s="18" t="str">
        <f>MID(A185,FIND("（",$A185)+1,FIND("、",$A185)-FIND("（",$A185)-1)</f>
        <v>2010年2月19日</v>
      </c>
      <c r="K185" s="18" t="s">
        <v>22335</v>
      </c>
      <c r="L185" s="18" t="s">
        <v>22652</v>
      </c>
      <c r="M185" s="18" t="str">
        <f>VLOOKUP(D185,NKcode!$B$9:$C$6121,2,FALSE)</f>
        <v>0001457</v>
      </c>
      <c r="N185" s="8" t="str">
        <f t="shared" si="23"/>
        <v>N0001457</v>
      </c>
      <c r="O185" s="43" t="s">
        <v>22805</v>
      </c>
    </row>
    <row r="186" spans="1:15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3" t="str">
        <f>VLOOKUP(VALUE(LEFT(C186,2)),[1]証券コード!$A$1:$B$14,2,1)</f>
        <v>運輸・通信・電気・ガス・サービス</v>
      </c>
      <c r="F186" s="33" t="s">
        <v>22702</v>
      </c>
      <c r="G186" s="33" t="s">
        <v>22667</v>
      </c>
      <c r="J186" s="8" t="str">
        <f>MID(A186,FIND("（",$A186)+1,FIND("、",$A186)-FIND("（",$A186)-1)</f>
        <v>2010年2月20日</v>
      </c>
      <c r="K186" s="8" t="s">
        <v>22320</v>
      </c>
      <c r="M186" s="8" t="str">
        <f>VLOOKUP(D186,NKcode!$B$9:$C$6121,2,FALSE)</f>
        <v>0001941</v>
      </c>
      <c r="N186" s="8" t="str">
        <f t="shared" ref="N186:N244" si="34">CONCATENATE("N",M186)</f>
        <v>N0001941</v>
      </c>
      <c r="O186" s="43" t="s">
        <v>22806</v>
      </c>
    </row>
    <row r="187" spans="1:15" s="18" customFormat="1" x14ac:dyDescent="0.15">
      <c r="A187" s="8" t="s">
        <v>22333</v>
      </c>
      <c r="B187" s="8"/>
      <c r="C187" s="8" t="str">
        <f>MID(A187,FIND("）",A187)-4,4)</f>
        <v>9665</v>
      </c>
      <c r="D187" s="8" t="str">
        <f t="shared" si="33"/>
        <v>吉本興業</v>
      </c>
      <c r="E187" s="33" t="str">
        <f>VLOOKUP(VALUE(LEFT(C187,2)),[1]証券コード!$A$1:$B$14,2,1)</f>
        <v>運輸・通信・電気・ガス・サービス</v>
      </c>
      <c r="F187" s="33" t="s">
        <v>22702</v>
      </c>
      <c r="G187" s="33"/>
      <c r="H187" s="9">
        <v>1</v>
      </c>
      <c r="I187" s="9"/>
      <c r="J187" s="8" t="str">
        <f>MID(A187,FIND("（",$A187)+1,FIND("、",$A187)-FIND("（",$A187)-1)</f>
        <v>2010年2月24日</v>
      </c>
      <c r="K187" s="8" t="s">
        <v>22325</v>
      </c>
      <c r="L187" s="8"/>
      <c r="M187" s="8" t="str">
        <f>VLOOKUP(D187,NKcode!$B$9:$C$6121,2,FALSE)</f>
        <v>0002078</v>
      </c>
      <c r="N187" s="8" t="str">
        <f t="shared" si="34"/>
        <v>N0002078</v>
      </c>
      <c r="O187" s="43" t="s">
        <v>22807</v>
      </c>
    </row>
    <row r="188" spans="1:15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37" t="str">
        <f>VLOOKUP(VALUE(LEFT(C188,2)),[1]証券コード!$A$1:$B$14,2,1)</f>
        <v>運輸・通信・電気・ガス・サービス</v>
      </c>
      <c r="F188" s="37" t="s">
        <v>22703</v>
      </c>
      <c r="G188" s="37" t="s">
        <v>22667</v>
      </c>
      <c r="H188" s="19">
        <v>1</v>
      </c>
      <c r="I188" s="19"/>
      <c r="J188" s="30">
        <v>40288</v>
      </c>
      <c r="K188" s="18" t="s">
        <v>22325</v>
      </c>
      <c r="L188" s="18" t="s">
        <v>22660</v>
      </c>
      <c r="M188" s="18" t="str">
        <f>VLOOKUP(D188,NKcode!$B$9:$C$6121,2,FALSE)</f>
        <v>0001925</v>
      </c>
      <c r="N188" s="8" t="str">
        <f t="shared" si="34"/>
        <v>N0001925</v>
      </c>
      <c r="O188" s="43" t="s">
        <v>22808</v>
      </c>
    </row>
    <row r="189" spans="1:15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37" t="str">
        <f>VLOOKUP(VALUE(LEFT(C189,2)),[1]証券コード!$A$1:$B$14,2,1)</f>
        <v>繊維・紙</v>
      </c>
      <c r="F189" s="37" t="s">
        <v>22703</v>
      </c>
      <c r="G189" s="37" t="s">
        <v>22667</v>
      </c>
      <c r="H189" s="19">
        <v>1</v>
      </c>
      <c r="I189" s="19"/>
      <c r="J189" s="18" t="str">
        <f t="shared" ref="J189:J197" si="36">MID(A189,FIND("（",$A189)+1,FIND("、",$A189)-FIND("（",$A189)-1)</f>
        <v>2010年4月22日</v>
      </c>
      <c r="K189" s="18" t="s">
        <v>22325</v>
      </c>
      <c r="L189" s="18" t="s">
        <v>22870</v>
      </c>
      <c r="M189" s="18" t="str">
        <f>VLOOKUP(D189,NKcode!$B$9:$C$6121,2,FALSE)</f>
        <v>0035435</v>
      </c>
      <c r="N189" s="8" t="str">
        <f t="shared" si="34"/>
        <v>N0035435</v>
      </c>
      <c r="O189" s="43" t="s">
        <v>22809</v>
      </c>
    </row>
    <row r="190" spans="1:15" x14ac:dyDescent="0.15">
      <c r="A190" s="18" t="s">
        <v>22330</v>
      </c>
      <c r="B190" s="18"/>
      <c r="C190" s="18" t="str">
        <f t="shared" si="35"/>
        <v>6253</v>
      </c>
      <c r="D190" s="44" t="str">
        <f t="shared" si="33"/>
        <v>エフオーアイ</v>
      </c>
      <c r="E190" s="37" t="str">
        <f>VLOOKUP(VALUE(LEFT(C190,2)),[1]証券コード!$A$1:$B$14,2,1)</f>
        <v>機械・電機</v>
      </c>
      <c r="F190" s="37" t="s">
        <v>22704</v>
      </c>
      <c r="G190" s="37" t="s">
        <v>22669</v>
      </c>
      <c r="H190" s="19">
        <v>1</v>
      </c>
      <c r="I190" s="19"/>
      <c r="J190" s="18" t="str">
        <f t="shared" si="36"/>
        <v>2010年6月15日</v>
      </c>
      <c r="K190" s="18" t="s">
        <v>22329</v>
      </c>
      <c r="L190" s="18" t="s">
        <v>22869</v>
      </c>
      <c r="M190" s="18" t="str">
        <f>VLOOKUP(D190,NKcode!$B$9:$C$6121,2,FALSE)</f>
        <v>0029884</v>
      </c>
      <c r="N190" s="8" t="str">
        <f t="shared" si="34"/>
        <v>N0029884</v>
      </c>
    </row>
    <row r="191" spans="1:15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37" t="str">
        <f>VLOOKUP(VALUE(LEFT(C191,2)),[1]証券コード!$A$1:$B$14,2,1)</f>
        <v>金融・商業・不動産</v>
      </c>
      <c r="F191" s="37" t="s">
        <v>22702</v>
      </c>
      <c r="G191" s="37" t="s">
        <v>22664</v>
      </c>
      <c r="H191" s="19">
        <v>1</v>
      </c>
      <c r="I191" s="19"/>
      <c r="J191" s="18" t="str">
        <f t="shared" si="36"/>
        <v>2010年6月15日</v>
      </c>
      <c r="K191" s="18" t="s">
        <v>22327</v>
      </c>
      <c r="L191" s="18" t="s">
        <v>22652</v>
      </c>
      <c r="M191" s="18" t="str">
        <f>VLOOKUP(D191,NKcode!$B$9:$C$6121,2,FALSE)</f>
        <v>0030715</v>
      </c>
      <c r="N191" s="8" t="str">
        <f t="shared" si="34"/>
        <v>N0030715</v>
      </c>
      <c r="O191" s="43" t="s">
        <v>22810</v>
      </c>
    </row>
    <row r="192" spans="1:15" s="18" customFormat="1" x14ac:dyDescent="0.15">
      <c r="A192" s="18" t="s">
        <v>22326</v>
      </c>
      <c r="C192" s="18" t="str">
        <f t="shared" si="35"/>
        <v>4537</v>
      </c>
      <c r="D192" s="44" t="str">
        <f t="shared" si="33"/>
        <v>エスエス製薬</v>
      </c>
      <c r="E192" s="37" t="str">
        <f>VLOOKUP(VALUE(LEFT(C192,2)),[1]証券コード!$A$1:$B$14,2,1)</f>
        <v>化学・薬品</v>
      </c>
      <c r="F192" s="37" t="s">
        <v>22702</v>
      </c>
      <c r="G192" s="37" t="s">
        <v>22693</v>
      </c>
      <c r="H192" s="19">
        <v>1</v>
      </c>
      <c r="I192" s="19"/>
      <c r="J192" s="18" t="str">
        <f t="shared" si="36"/>
        <v>2010年7月16日</v>
      </c>
      <c r="K192" s="18" t="s">
        <v>22325</v>
      </c>
      <c r="L192" s="18" t="s">
        <v>22651</v>
      </c>
      <c r="M192" s="18" t="str">
        <f>VLOOKUP(D192,NKcode!$B$9:$C$6121,2,FALSE)</f>
        <v>0000653</v>
      </c>
      <c r="N192" s="8" t="str">
        <f t="shared" si="34"/>
        <v>N0000653</v>
      </c>
      <c r="O192" s="43" t="s">
        <v>22811</v>
      </c>
    </row>
    <row r="193" spans="1:15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37" t="str">
        <f>VLOOKUP(VALUE(LEFT(C193,2)),[1]証券コード!$A$1:$B$14,2,1)</f>
        <v>化学・薬品</v>
      </c>
      <c r="F193" s="37" t="s">
        <v>22704</v>
      </c>
      <c r="G193" s="33" t="s">
        <v>22708</v>
      </c>
      <c r="H193" s="19">
        <v>1</v>
      </c>
      <c r="I193" s="19"/>
      <c r="J193" s="18" t="str">
        <f t="shared" si="36"/>
        <v>2010年8月11日</v>
      </c>
      <c r="K193" s="18" t="s">
        <v>22283</v>
      </c>
      <c r="L193" s="18" t="s">
        <v>22629</v>
      </c>
      <c r="M193" s="18" t="s">
        <v>13747</v>
      </c>
      <c r="N193" s="8" t="str">
        <f t="shared" si="34"/>
        <v>N0030246</v>
      </c>
      <c r="O193" s="43" t="s">
        <v>22812</v>
      </c>
    </row>
    <row r="194" spans="1:15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37" t="str">
        <f>VLOOKUP(VALUE(LEFT(C194,2)),[1]証券コード!$A$1:$B$14,2,1)</f>
        <v>食品</v>
      </c>
      <c r="F194" s="37" t="s">
        <v>22704</v>
      </c>
      <c r="G194" s="37" t="s">
        <v>22667</v>
      </c>
      <c r="H194" s="19">
        <v>1</v>
      </c>
      <c r="I194" s="19"/>
      <c r="J194" s="18" t="str">
        <f t="shared" si="36"/>
        <v>2010年9月25日</v>
      </c>
      <c r="K194" s="18" t="s">
        <v>22322</v>
      </c>
      <c r="L194" s="18" t="s">
        <v>22659</v>
      </c>
      <c r="M194" s="18" t="str">
        <f>VLOOKUP(D194,NKcode!$B$9:$C$6121,2,FALSE)</f>
        <v>0031147</v>
      </c>
      <c r="N194" s="8" t="str">
        <f t="shared" si="34"/>
        <v>N0031147</v>
      </c>
      <c r="O194" s="43" t="s">
        <v>22813</v>
      </c>
    </row>
    <row r="195" spans="1:15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3" t="str">
        <f>VLOOKUP(VALUE(LEFT(C195,2)),[1]証券コード!$A$1:$B$14,2,1)</f>
        <v>金融・商業・不動産</v>
      </c>
      <c r="F195" s="33" t="s">
        <v>22702</v>
      </c>
      <c r="G195" s="33" t="s">
        <v>22666</v>
      </c>
      <c r="J195" s="8" t="str">
        <f t="shared" si="36"/>
        <v>2010年10月29日</v>
      </c>
      <c r="K195" s="8" t="s">
        <v>22320</v>
      </c>
      <c r="M195" s="8" t="str">
        <f>VLOOKUP(D195,NKcode!$B$9:$C$6121,2,FALSE)</f>
        <v>0018843</v>
      </c>
      <c r="N195" s="8" t="str">
        <f t="shared" si="34"/>
        <v>N0018843</v>
      </c>
      <c r="O195" s="43" t="s">
        <v>22814</v>
      </c>
    </row>
    <row r="196" spans="1:15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3" t="str">
        <f>VLOOKUP(VALUE(LEFT(C196,2)),[1]証券コード!$A$1:$B$14,2,1)</f>
        <v>金融・商業・不動産</v>
      </c>
      <c r="F196" s="33" t="s">
        <v>22703</v>
      </c>
      <c r="G196" s="33" t="s">
        <v>22664</v>
      </c>
      <c r="J196" s="8" t="str">
        <f t="shared" si="36"/>
        <v>2010年11月2日</v>
      </c>
      <c r="K196" s="8" t="s">
        <v>22252</v>
      </c>
      <c r="M196" s="8" t="str">
        <f>VLOOKUP(D196,NKcode!$B$9:$C$6121,2,FALSE)</f>
        <v>0031022</v>
      </c>
      <c r="N196" s="8" t="str">
        <f t="shared" si="34"/>
        <v>N0031022</v>
      </c>
      <c r="O196" s="43" t="s">
        <v>22815</v>
      </c>
    </row>
    <row r="197" spans="1:15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3" t="str">
        <f>VLOOKUP(VALUE(LEFT(C197,2)),[1]証券コード!$A$1:$B$14,2,1)</f>
        <v>食品</v>
      </c>
      <c r="F197" s="33" t="s">
        <v>22704</v>
      </c>
      <c r="G197" s="33" t="s">
        <v>22688</v>
      </c>
      <c r="J197" s="8" t="str">
        <f t="shared" si="36"/>
        <v>2010年11月5日</v>
      </c>
      <c r="K197" s="8" t="s">
        <v>22317</v>
      </c>
      <c r="M197" s="8" t="s">
        <v>14900</v>
      </c>
      <c r="N197" s="8" t="str">
        <f t="shared" si="34"/>
        <v>N0030686</v>
      </c>
      <c r="O197" s="43" t="s">
        <v>22816</v>
      </c>
    </row>
    <row r="198" spans="1:15" x14ac:dyDescent="0.15">
      <c r="B198" s="12" t="s">
        <v>22316</v>
      </c>
    </row>
    <row r="199" spans="1:15" x14ac:dyDescent="0.15">
      <c r="A199" s="8" t="s">
        <v>22315</v>
      </c>
      <c r="C199" s="8" t="str">
        <f t="shared" ref="C199:C204" si="37">MID(A199,FIND("）",A199)-4,4)</f>
        <v>6453</v>
      </c>
      <c r="D199" s="40" t="str">
        <f t="shared" ref="D199:D204" si="38">LEFT(A199,FIND("（",A199)-1)</f>
        <v>シルバー精工</v>
      </c>
      <c r="E199" s="33" t="str">
        <f>VLOOKUP(VALUE(LEFT(C199,2)),[1]証券コード!$A$1:$B$14,2,1)</f>
        <v>機械・電機</v>
      </c>
      <c r="F199" s="33" t="s">
        <v>22702</v>
      </c>
      <c r="G199" s="33" t="s">
        <v>22671</v>
      </c>
      <c r="H199" s="9">
        <v>1</v>
      </c>
      <c r="J199" s="8" t="str">
        <f t="shared" ref="J199:J204" si="39">MID(A199,FIND("（",$A199)+1,FIND("、",$A199)-FIND("（",$A199)-1)</f>
        <v>2011年1月29日</v>
      </c>
      <c r="K199" s="8" t="s">
        <v>22314</v>
      </c>
      <c r="M199" s="8" t="str">
        <f>VLOOKUP(D199,NKcode!$B$9:$C$6121,2,FALSE)</f>
        <v>0001120</v>
      </c>
      <c r="N199" s="8" t="str">
        <f t="shared" si="34"/>
        <v>N0001120</v>
      </c>
      <c r="O199" s="43" t="s">
        <v>22817</v>
      </c>
    </row>
    <row r="200" spans="1:15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37" t="str">
        <f>VLOOKUP(VALUE(LEFT(C200,2)),[1]証券コード!$A$1:$B$14,2,1)</f>
        <v>食品</v>
      </c>
      <c r="F200" s="37" t="s">
        <v>22704</v>
      </c>
      <c r="G200" s="37" t="s">
        <v>22667</v>
      </c>
      <c r="H200" s="19">
        <v>1</v>
      </c>
      <c r="I200" s="19"/>
      <c r="J200" s="18" t="str">
        <f t="shared" si="39"/>
        <v>2011年4月26日</v>
      </c>
      <c r="K200" s="18" t="s">
        <v>22312</v>
      </c>
      <c r="L200" s="18" t="s">
        <v>22658</v>
      </c>
      <c r="M200" s="18" t="str">
        <f>VLOOKUP(D200,NKcode!$B$9:$C$6121,2,FALSE)</f>
        <v>0030882</v>
      </c>
      <c r="N200" s="8" t="str">
        <f t="shared" si="34"/>
        <v>N0030882</v>
      </c>
      <c r="O200" s="43" t="s">
        <v>22818</v>
      </c>
    </row>
    <row r="201" spans="1:15" x14ac:dyDescent="0.15">
      <c r="A201" s="8" t="s">
        <v>22311</v>
      </c>
      <c r="B201" s="18"/>
      <c r="C201" s="18" t="str">
        <f t="shared" si="37"/>
        <v>7934</v>
      </c>
      <c r="D201" s="51" t="str">
        <f t="shared" si="38"/>
        <v>メルクス</v>
      </c>
      <c r="E201" s="37" t="str">
        <f>VLOOKUP(VALUE(LEFT(C201,2)),[1]証券コード!$A$1:$B$14,2,1)</f>
        <v>自動車・輸送機</v>
      </c>
      <c r="F201" s="37" t="s">
        <v>22703</v>
      </c>
      <c r="G201" s="37" t="s">
        <v>22673</v>
      </c>
      <c r="H201" s="19">
        <v>1</v>
      </c>
      <c r="I201" s="19"/>
      <c r="J201" s="18" t="str">
        <f t="shared" si="39"/>
        <v>2011年6月29日</v>
      </c>
      <c r="K201" s="18" t="s">
        <v>22310</v>
      </c>
      <c r="L201" s="18" t="s">
        <v>22859</v>
      </c>
      <c r="M201" s="18" t="str">
        <f>VLOOKUP(D201,NKcode!$B$9:$C$6121,2,FALSE)</f>
        <v>0001507</v>
      </c>
      <c r="N201" s="8" t="str">
        <f t="shared" si="34"/>
        <v>N0001507</v>
      </c>
      <c r="O201" s="43" t="s">
        <v>22819</v>
      </c>
    </row>
    <row r="202" spans="1:15" x14ac:dyDescent="0.15">
      <c r="A202" s="8" t="s">
        <v>22309</v>
      </c>
      <c r="B202" s="18"/>
      <c r="C202" s="18" t="str">
        <f t="shared" si="37"/>
        <v>4566</v>
      </c>
      <c r="D202" s="44" t="str">
        <f t="shared" si="38"/>
        <v xml:space="preserve">LTTバイオファーマ </v>
      </c>
      <c r="E202" s="37" t="str">
        <f>VLOOKUP(VALUE(LEFT(C202,2)),[1]証券コード!$A$1:$B$14,2,1)</f>
        <v>化学・薬品</v>
      </c>
      <c r="F202" s="37" t="s">
        <v>22704</v>
      </c>
      <c r="G202" s="37" t="s">
        <v>22693</v>
      </c>
      <c r="H202" s="19">
        <v>1</v>
      </c>
      <c r="I202" s="19"/>
      <c r="J202" s="18" t="str">
        <f t="shared" si="39"/>
        <v>2011年8月9日</v>
      </c>
      <c r="K202" s="18" t="s">
        <v>22308</v>
      </c>
      <c r="L202" s="18" t="s">
        <v>22651</v>
      </c>
      <c r="M202" s="18" t="s">
        <v>15574</v>
      </c>
      <c r="N202" s="8" t="str">
        <f t="shared" si="34"/>
        <v>N0030962</v>
      </c>
      <c r="O202" s="43" t="s">
        <v>22820</v>
      </c>
    </row>
    <row r="203" spans="1:15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3" t="str">
        <f>VLOOKUP(VALUE(LEFT(C203,2)),[1]証券コード!$A$1:$B$14,2,1)</f>
        <v>運輸・通信・電気・ガス・サービス</v>
      </c>
      <c r="F203" s="33" t="s">
        <v>22703</v>
      </c>
      <c r="G203" s="33" t="s">
        <v>22666</v>
      </c>
      <c r="J203" s="8" t="str">
        <f t="shared" si="39"/>
        <v>2011年10月3日</v>
      </c>
      <c r="K203" s="8" t="s">
        <v>22252</v>
      </c>
      <c r="M203" s="8" t="s">
        <v>10259</v>
      </c>
      <c r="N203" s="8" t="str">
        <f t="shared" si="34"/>
        <v>N0016221</v>
      </c>
      <c r="O203" s="43" t="s">
        <v>22821</v>
      </c>
    </row>
    <row r="204" spans="1:15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3" t="str">
        <f>VLOOKUP(VALUE(LEFT(C204,2)),[1]証券コード!$A$1:$B$14,2,1)</f>
        <v>金融・商業・不動産</v>
      </c>
      <c r="F204" s="33" t="s">
        <v>22702</v>
      </c>
      <c r="G204" s="33" t="s">
        <v>22664</v>
      </c>
      <c r="J204" s="8" t="str">
        <f t="shared" si="39"/>
        <v>2011年10月27日</v>
      </c>
      <c r="K204" s="8" t="s">
        <v>22252</v>
      </c>
      <c r="M204" s="8" t="str">
        <f>VLOOKUP(D204,NKcode!$B$9:$C$6121,2,FALSE)</f>
        <v>0028753</v>
      </c>
      <c r="N204" s="8" t="str">
        <f t="shared" si="34"/>
        <v>N0028753</v>
      </c>
      <c r="O204" s="43" t="s">
        <v>22822</v>
      </c>
    </row>
    <row r="205" spans="1:15" x14ac:dyDescent="0.15">
      <c r="B205" s="12" t="s">
        <v>22305</v>
      </c>
    </row>
    <row r="206" spans="1:15" x14ac:dyDescent="0.15">
      <c r="A206" s="8" t="s">
        <v>22304</v>
      </c>
      <c r="C206" s="8" t="str">
        <f>MID(A206,FIND("）",A206)-4,4)</f>
        <v>6665</v>
      </c>
      <c r="D206" s="40" t="str">
        <f>LEFT(A206,FIND("（",A206)-1)</f>
        <v>エルピーダメモリ</v>
      </c>
      <c r="E206" s="33" t="str">
        <f>VLOOKUP(VALUE(LEFT(C206,2)),[1]証券コード!$A$1:$B$14,2,1)</f>
        <v>機械・電機</v>
      </c>
      <c r="F206" s="33" t="s">
        <v>22702</v>
      </c>
      <c r="G206" s="33" t="s">
        <v>22694</v>
      </c>
      <c r="J206" s="8" t="str">
        <f>MID(A206,FIND("（",$A206)+1,FIND("、",$A206)-FIND("（",$A206)-1)</f>
        <v>2012年3月28日</v>
      </c>
      <c r="K206" s="8" t="s">
        <v>22642</v>
      </c>
      <c r="L206" s="8" t="s">
        <v>22881</v>
      </c>
      <c r="M206" s="8" t="s">
        <v>15561</v>
      </c>
      <c r="N206" s="8" t="str">
        <f t="shared" si="34"/>
        <v>N0030956</v>
      </c>
      <c r="O206" s="43" t="s">
        <v>22823</v>
      </c>
    </row>
    <row r="207" spans="1:15" x14ac:dyDescent="0.15">
      <c r="A207" s="8" t="s">
        <v>22303</v>
      </c>
      <c r="C207" s="8" t="str">
        <f>MID(A207,FIND("）",A207)-4,4)</f>
        <v>6793</v>
      </c>
      <c r="D207" s="40" t="str">
        <f>LEFT(A207,FIND("（",A207)-1)</f>
        <v>山水電気</v>
      </c>
      <c r="E207" s="33" t="str">
        <f>VLOOKUP(VALUE(LEFT(C207,2)),[1]証券コード!$A$1:$B$14,2,1)</f>
        <v>機械・電機</v>
      </c>
      <c r="F207" s="33" t="s">
        <v>22702</v>
      </c>
      <c r="G207" s="33" t="s">
        <v>22694</v>
      </c>
      <c r="J207" s="8" t="str">
        <f>MID(A207,FIND("（",$A207)+1,FIND("、",$A207)-FIND("（",$A207)-1)</f>
        <v>2012年5月3日</v>
      </c>
      <c r="K207" s="8" t="s">
        <v>22643</v>
      </c>
      <c r="M207" s="8" t="str">
        <f>VLOOKUP(D207,NKcode!$B$9:$C$6121,2,FALSE)</f>
        <v>0001236</v>
      </c>
      <c r="N207" s="8" t="str">
        <f t="shared" si="34"/>
        <v>N0001236</v>
      </c>
      <c r="O207" s="43" t="s">
        <v>22824</v>
      </c>
    </row>
    <row r="208" spans="1:15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3" t="str">
        <f>VLOOKUP(VALUE(LEFT(C208,2)),[1]証券コード!$A$1:$B$14,2,1)</f>
        <v>金融・商業・不動産</v>
      </c>
      <c r="F208" s="33" t="s">
        <v>22703</v>
      </c>
      <c r="G208" s="33" t="s">
        <v>22666</v>
      </c>
      <c r="J208" s="8" t="str">
        <f>MID(A208,FIND("（",$A208)+1,FIND("、",$A208)-FIND("（",$A208)-1)</f>
        <v>2012年6月10日</v>
      </c>
      <c r="K208" s="8" t="s">
        <v>22643</v>
      </c>
      <c r="M208" s="8" t="s">
        <v>10131</v>
      </c>
      <c r="N208" s="8" t="str">
        <f t="shared" si="34"/>
        <v>N0016147</v>
      </c>
      <c r="O208" s="43" t="s">
        <v>22825</v>
      </c>
    </row>
    <row r="209" spans="1:15" x14ac:dyDescent="0.15">
      <c r="A209" s="8" t="s">
        <v>22301</v>
      </c>
      <c r="C209" s="8" t="str">
        <f>MID(A209,FIND("）",A209)-4,4)</f>
        <v>6667</v>
      </c>
      <c r="D209" s="40" t="str">
        <f>LEFT(A209,FIND("（",A209)-1)</f>
        <v>シコー</v>
      </c>
      <c r="E209" s="33" t="str">
        <f>VLOOKUP(VALUE(LEFT(C209,2)),[1]証券コード!$A$1:$B$14,2,1)</f>
        <v>機械・電機</v>
      </c>
      <c r="F209" s="33" t="s">
        <v>22704</v>
      </c>
      <c r="G209" s="33" t="s">
        <v>22694</v>
      </c>
      <c r="J209" s="8" t="str">
        <f>MID(A209,FIND("（",$A209)+1,FIND("、",$A209)-FIND("（",$A209)-1)</f>
        <v>2012年9月11日</v>
      </c>
      <c r="K209" s="8" t="s">
        <v>22643</v>
      </c>
      <c r="M209" s="8" t="str">
        <f>VLOOKUP(D209,NKcode!$B$9:$C$6121,2,FALSE)</f>
        <v>0030898</v>
      </c>
      <c r="N209" s="8" t="str">
        <f t="shared" si="34"/>
        <v>N0030898</v>
      </c>
      <c r="O209" s="43" t="s">
        <v>22826</v>
      </c>
    </row>
    <row r="210" spans="1:15" x14ac:dyDescent="0.15">
      <c r="A210" s="8" t="s">
        <v>22300</v>
      </c>
      <c r="C210" s="8" t="str">
        <f>MID(A210,FIND("）",A210)-4,4)</f>
        <v>5917</v>
      </c>
      <c r="D210" s="40" t="str">
        <f>LEFT(A210,FIND("（",A210)-1)</f>
        <v>サクラダ</v>
      </c>
      <c r="E210" s="33" t="str">
        <f>VLOOKUP(VALUE(LEFT(C210,2)),[1]証券コード!$A$1:$B$14,2,1)</f>
        <v>資源・素材</v>
      </c>
      <c r="F210" s="33" t="s">
        <v>22702</v>
      </c>
      <c r="G210" s="33" t="s">
        <v>22673</v>
      </c>
      <c r="J210" s="8" t="str">
        <f>MID(A210,FIND("（",$A210)+1,FIND("、",$A210)-FIND("（",$A210)-1)</f>
        <v>2012年12月12日</v>
      </c>
      <c r="K210" s="8" t="s">
        <v>22644</v>
      </c>
      <c r="M210" s="8" t="str">
        <f>VLOOKUP(D210,NKcode!$B$9:$C$6121,2,FALSE)</f>
        <v>0000929</v>
      </c>
      <c r="N210" s="8" t="str">
        <f t="shared" si="34"/>
        <v>N0000929</v>
      </c>
      <c r="O210" s="43" t="s">
        <v>22827</v>
      </c>
    </row>
    <row r="211" spans="1:15" x14ac:dyDescent="0.15">
      <c r="B211" s="12" t="s">
        <v>22299</v>
      </c>
    </row>
    <row r="212" spans="1:15" x14ac:dyDescent="0.15">
      <c r="A212" s="8" t="s">
        <v>22298</v>
      </c>
      <c r="B212" s="18"/>
      <c r="C212" s="18" t="str">
        <f>MID(A212,FIND("）",A212)-4,4)</f>
        <v>4580</v>
      </c>
      <c r="D212" s="44" t="str">
        <f>LEFT(A212,FIND("（",A212)-1)</f>
        <v>メビオファーム</v>
      </c>
      <c r="E212" s="37" t="str">
        <f>VLOOKUP(VALUE(LEFT(C212,2)),[1]証券コード!$A$1:$B$14,2,1)</f>
        <v>化学・薬品</v>
      </c>
      <c r="F212" s="37" t="s">
        <v>22706</v>
      </c>
      <c r="G212" s="37" t="s">
        <v>22693</v>
      </c>
      <c r="H212" s="19">
        <v>1</v>
      </c>
      <c r="I212" s="19"/>
      <c r="J212" s="18" t="str">
        <f>MID(A212,FIND("（",$A212)+1,FIND("、",$A212)-FIND("（",$A212)-1)</f>
        <v>2013年6月7日</v>
      </c>
      <c r="K212" s="18" t="s">
        <v>22297</v>
      </c>
      <c r="L212" s="18" t="s">
        <v>22871</v>
      </c>
      <c r="M212" s="18" t="str">
        <f>VLOOKUP(D212,NKcode!$B$9:$C$6121,2,FALSE)</f>
        <v>0031687</v>
      </c>
      <c r="N212" s="8" t="str">
        <f t="shared" si="34"/>
        <v>N0031687</v>
      </c>
      <c r="O212" s="43" t="s">
        <v>22828</v>
      </c>
    </row>
    <row r="213" spans="1:15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37" t="str">
        <f>VLOOKUP(VALUE(LEFT(C213,2)),[1]証券コード!$A$1:$B$14,2,1)</f>
        <v>運輸・通信・電気・ガス・サービス</v>
      </c>
      <c r="F213" s="37" t="s">
        <v>22705</v>
      </c>
      <c r="G213" s="37" t="s">
        <v>22855</v>
      </c>
      <c r="H213" s="19">
        <v>1</v>
      </c>
      <c r="I213" s="19"/>
      <c r="J213" s="18" t="str">
        <f>MID(A213,FIND("（",$A213)+1,FIND("、",$A213)-FIND("（",$A213)-1)</f>
        <v>2013年7月17日</v>
      </c>
      <c r="K213" s="18" t="s">
        <v>22295</v>
      </c>
      <c r="L213" s="18" t="s">
        <v>22657</v>
      </c>
      <c r="M213" s="18" t="str">
        <f>VLOOKUP(D213,NKcode!$B$9:$C$6121,2,FALSE)</f>
        <v>0009436</v>
      </c>
      <c r="N213" s="8" t="str">
        <f t="shared" si="34"/>
        <v>N0009436</v>
      </c>
      <c r="O213" s="43" t="s">
        <v>22829</v>
      </c>
    </row>
    <row r="214" spans="1:15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3" t="str">
        <f>VLOOKUP(VALUE(LEFT(C214,2)),[1]証券コード!$A$1:$B$14,2,1)</f>
        <v>化学・薬品</v>
      </c>
      <c r="F214" s="33" t="s">
        <v>22705</v>
      </c>
      <c r="G214" s="33" t="s">
        <v>22872</v>
      </c>
      <c r="J214" s="8" t="str">
        <f>MID(A214,FIND("（",$A214)+1,FIND("、",$A214)-FIND("（",$A214)-1)</f>
        <v>2013年7月28日</v>
      </c>
      <c r="K214" s="8" t="s">
        <v>22252</v>
      </c>
      <c r="M214" s="8" t="s">
        <v>14149</v>
      </c>
      <c r="N214" s="8" t="str">
        <f t="shared" si="34"/>
        <v>N0030396</v>
      </c>
      <c r="O214" s="43" t="s">
        <v>22830</v>
      </c>
    </row>
    <row r="215" spans="1:15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37" t="str">
        <f>VLOOKUP(VALUE(LEFT(C215,2)),[1]証券コード!$A$1:$B$14,2,1)</f>
        <v>食品</v>
      </c>
      <c r="F215" s="37" t="s">
        <v>22705</v>
      </c>
      <c r="G215" s="37" t="s">
        <v>22695</v>
      </c>
      <c r="H215" s="19">
        <v>1</v>
      </c>
      <c r="I215" s="19"/>
      <c r="J215" s="18" t="str">
        <f>MID(A215,FIND("（",$A215)+1,FIND("、",$A215)-FIND("（",$A215)-1)</f>
        <v>2013年9月11日</v>
      </c>
      <c r="K215" s="18" t="s">
        <v>22283</v>
      </c>
      <c r="L215" s="18" t="s">
        <v>22651</v>
      </c>
      <c r="M215" s="18" t="str">
        <f>VLOOKUP(D215,NKcode!$B$9:$C$6121,2,FALSE)</f>
        <v>0030359</v>
      </c>
      <c r="N215" s="8" t="str">
        <f t="shared" si="34"/>
        <v>N0030359</v>
      </c>
      <c r="O215" s="43" t="s">
        <v>22831</v>
      </c>
    </row>
    <row r="216" spans="1:15" x14ac:dyDescent="0.15">
      <c r="A216" s="18" t="s">
        <v>22292</v>
      </c>
      <c r="B216" s="18"/>
      <c r="C216" s="8" t="str">
        <f>MID(A216,FIND("）",A216)-4,4)</f>
        <v>9378</v>
      </c>
      <c r="D216" s="8" t="str">
        <f>LEFT(A216,FIND("（",A216)-1)</f>
        <v>ワールド・ロジ</v>
      </c>
      <c r="E216" s="33" t="str">
        <f>VLOOKUP(VALUE(LEFT(C216,2)),[1]証券コード!$A$1:$B$14,2,1)</f>
        <v>運輸・通信・電気・ガス・サービス</v>
      </c>
      <c r="F216" s="33" t="s">
        <v>22705</v>
      </c>
      <c r="G216" s="33" t="s">
        <v>22696</v>
      </c>
      <c r="J216" s="8" t="str">
        <f>MID(A216,FIND("（",$A216)+1,FIND("、",$A216)-FIND("（",$A216)-1)</f>
        <v>2013年9月14日</v>
      </c>
      <c r="K216" s="8" t="s">
        <v>22291</v>
      </c>
      <c r="M216" s="8" t="str">
        <f>VLOOKUP(D216,NKcode!$B$9:$C$6121,2,FALSE)</f>
        <v>0030983</v>
      </c>
      <c r="N216" s="8" t="str">
        <f t="shared" si="34"/>
        <v>N0030983</v>
      </c>
      <c r="O216" s="43" t="s">
        <v>22832</v>
      </c>
    </row>
    <row r="217" spans="1:15" x14ac:dyDescent="0.15">
      <c r="B217" s="12" t="s">
        <v>22290</v>
      </c>
    </row>
    <row r="218" spans="1:15" x14ac:dyDescent="0.15">
      <c r="C218" s="8">
        <v>2724</v>
      </c>
      <c r="D218" s="8" t="s">
        <v>22581</v>
      </c>
      <c r="E218" s="33" t="str">
        <f>VLOOKUP(VALUE(LEFT(C218,2)),[1]証券コード!$A$1:$B$14,2,1)</f>
        <v>食品</v>
      </c>
      <c r="F218" s="33" t="s">
        <v>22705</v>
      </c>
      <c r="G218" s="33" t="s">
        <v>22683</v>
      </c>
      <c r="H218" s="9">
        <v>1</v>
      </c>
      <c r="J218" s="13">
        <v>41895</v>
      </c>
      <c r="K218" s="8" t="s">
        <v>22582</v>
      </c>
      <c r="M218" s="8" t="str">
        <f>VLOOKUP(D218,NKcode!$B$9:$C$6121,2,FALSE)</f>
        <v>0025039</v>
      </c>
      <c r="N218" s="8" t="str">
        <f t="shared" si="34"/>
        <v>N0025039</v>
      </c>
      <c r="O218" s="43" t="s">
        <v>22833</v>
      </c>
    </row>
    <row r="219" spans="1:15" x14ac:dyDescent="0.15">
      <c r="B219" s="12" t="s">
        <v>22856</v>
      </c>
    </row>
    <row r="220" spans="1:15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3" t="str">
        <f>VLOOKUP(VALUE(LEFT(C220,2)),[1]証券コード!$A$1:$B$14,2,1)</f>
        <v>運輸・通信・電気・ガス・サービス</v>
      </c>
      <c r="F220" s="33" t="s">
        <v>22702</v>
      </c>
      <c r="G220" s="33" t="s">
        <v>22667</v>
      </c>
      <c r="J220" s="8" t="str">
        <f>MID(A220,FIND("（",$A220)+1,FIND("、",$A220)-FIND("（",$A220)-1)</f>
        <v>2015年3月1日</v>
      </c>
      <c r="K220" s="8" t="s">
        <v>22252</v>
      </c>
      <c r="M220" s="8" t="str">
        <f>VLOOKUP(D220,NKcode!$B$9:$C$6121,2,FALSE)</f>
        <v>0030262</v>
      </c>
      <c r="N220" s="8" t="str">
        <f t="shared" si="34"/>
        <v>N0030262</v>
      </c>
      <c r="O220" s="43" t="s">
        <v>22834</v>
      </c>
    </row>
    <row r="221" spans="1:15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37" t="str">
        <f>VLOOKUP(VALUE(LEFT(C221,2)),[1]証券コード!$A$1:$B$14,2,1)</f>
        <v>繊維・紙</v>
      </c>
      <c r="F221" s="37" t="s">
        <v>22704</v>
      </c>
      <c r="G221" s="37" t="s">
        <v>22697</v>
      </c>
      <c r="H221" s="19">
        <v>1</v>
      </c>
      <c r="I221" s="19"/>
      <c r="J221" s="18" t="str">
        <f>MID(A221,FIND("（",$A221)+1,FIND("、",$A221)-FIND("（",$A221)-1)</f>
        <v>2015年5月29日</v>
      </c>
      <c r="K221" s="18" t="s">
        <v>22281</v>
      </c>
      <c r="L221" s="8" t="s">
        <v>22656</v>
      </c>
      <c r="M221" s="18" t="str">
        <f>VLOOKUP(D221,NKcode!$B$9:$C$6121,2,FALSE)</f>
        <v>0030813</v>
      </c>
      <c r="N221" s="8" t="str">
        <f t="shared" si="34"/>
        <v>N0030813</v>
      </c>
      <c r="O221" s="43" t="s">
        <v>22835</v>
      </c>
    </row>
    <row r="222" spans="1:15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3" t="str">
        <f>VLOOKUP(VALUE(LEFT(C222,2)),[1]証券コード!$A$1:$B$14,2,1)</f>
        <v>運輸・通信・電気・ガス・サービス</v>
      </c>
      <c r="F222" s="33" t="s">
        <v>22702</v>
      </c>
      <c r="G222" s="33" t="s">
        <v>22683</v>
      </c>
      <c r="J222" s="13">
        <v>42155</v>
      </c>
      <c r="K222" s="8" t="s">
        <v>22252</v>
      </c>
      <c r="M222" s="8" t="s">
        <v>6639</v>
      </c>
      <c r="N222" s="8" t="str">
        <f t="shared" si="34"/>
        <v>N0003241</v>
      </c>
      <c r="O222" s="43" t="s">
        <v>22836</v>
      </c>
    </row>
    <row r="223" spans="1:15" x14ac:dyDescent="0.15">
      <c r="A223" s="8" t="s">
        <v>22286</v>
      </c>
      <c r="B223" s="18"/>
      <c r="C223" s="18" t="str">
        <f t="shared" si="40"/>
        <v>7708</v>
      </c>
      <c r="D223" s="51" t="str">
        <f t="shared" si="41"/>
        <v>石山Gateway Holdings</v>
      </c>
      <c r="E223" s="37" t="str">
        <f>VLOOKUP(VALUE(LEFT(C223,2)),[1]証券コード!$A$1:$B$14,2,1)</f>
        <v>自動車・輸送機</v>
      </c>
      <c r="F223" s="37" t="s">
        <v>22707</v>
      </c>
      <c r="G223" s="37" t="s">
        <v>22865</v>
      </c>
      <c r="H223" s="19">
        <v>1</v>
      </c>
      <c r="I223" s="19"/>
      <c r="J223" s="18" t="str">
        <f>MID(A223,FIND("（",$A223)+1,FIND("、",$A223)-FIND("（",$A223)-1)</f>
        <v>2015年8月1日</v>
      </c>
      <c r="K223" s="18" t="s">
        <v>22285</v>
      </c>
      <c r="L223" s="18" t="s">
        <v>22873</v>
      </c>
      <c r="M223" s="18" t="s">
        <v>14139</v>
      </c>
      <c r="N223" s="8" t="str">
        <f t="shared" si="34"/>
        <v>N0030393</v>
      </c>
      <c r="O223" s="43" t="s">
        <v>22837</v>
      </c>
    </row>
    <row r="224" spans="1:15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37" t="str">
        <f>VLOOKUP(VALUE(LEFT(C224,2)),[1]証券コード!$A$1:$B$14,2,1)</f>
        <v>化学・薬品</v>
      </c>
      <c r="F224" s="37" t="s">
        <v>22704</v>
      </c>
      <c r="G224" s="37" t="s">
        <v>22664</v>
      </c>
      <c r="H224" s="19">
        <v>1</v>
      </c>
      <c r="I224" s="19"/>
      <c r="J224" s="18" t="str">
        <f>MID(A224,FIND("（",$A224)+1,FIND("、",$A224)-FIND("（",$A224)-1)</f>
        <v>2015年8月10日</v>
      </c>
      <c r="K224" s="18" t="s">
        <v>22283</v>
      </c>
      <c r="L224" s="18" t="s">
        <v>22655</v>
      </c>
      <c r="M224" s="18" t="s">
        <v>11974</v>
      </c>
      <c r="N224" s="8" t="str">
        <f t="shared" si="34"/>
        <v>N0022756</v>
      </c>
      <c r="O224" s="43" t="s">
        <v>22838</v>
      </c>
    </row>
    <row r="225" spans="1:15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37" t="str">
        <f>VLOOKUP(VALUE(LEFT(C225,2)),[1]証券コード!$A$1:$B$14,2,1)</f>
        <v>繊維・紙</v>
      </c>
      <c r="F225" s="37" t="s">
        <v>22705</v>
      </c>
      <c r="G225" s="37" t="s">
        <v>22698</v>
      </c>
      <c r="H225" s="19">
        <v>1</v>
      </c>
      <c r="I225" s="19"/>
      <c r="J225" s="18" t="str">
        <f>MID(A225,FIND("（",$A225)+1,FIND("、",$A225)-FIND("（",$A225)-1)</f>
        <v>2015年9月12日</v>
      </c>
      <c r="K225" s="18" t="s">
        <v>22281</v>
      </c>
      <c r="L225" s="18" t="s">
        <v>22652</v>
      </c>
      <c r="M225" s="18" t="s">
        <v>9352</v>
      </c>
      <c r="N225" s="8" t="str">
        <f t="shared" si="34"/>
        <v>N0014187</v>
      </c>
    </row>
    <row r="226" spans="1:15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3" t="str">
        <f>VLOOKUP(VALUE(LEFT(C226,2)),[1]証券コード!$A$1:$B$14,2,1)</f>
        <v>運輸・通信・電気・ガス・サービス</v>
      </c>
      <c r="F226" s="33" t="s">
        <v>22702</v>
      </c>
      <c r="G226" s="33" t="s">
        <v>22699</v>
      </c>
      <c r="J226" s="8" t="str">
        <f>MID(A226,FIND("（",$A226)+1,FIND("、",$A226)-FIND("（",$A226)-1)</f>
        <v>2015年10月30日</v>
      </c>
      <c r="K226" s="8" t="s">
        <v>22252</v>
      </c>
      <c r="M226" s="8" t="str">
        <f>VLOOKUP(D226,NKcode!$B$9:$C$6121,2,FALSE)</f>
        <v>0001920</v>
      </c>
      <c r="N226" s="8" t="str">
        <f t="shared" si="34"/>
        <v>N0001920</v>
      </c>
      <c r="O226" s="43" t="s">
        <v>22839</v>
      </c>
    </row>
    <row r="227" spans="1:15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37" t="str">
        <f>VLOOKUP(VALUE(LEFT(C227,2)),[1]証券コード!$A$1:$B$14,2,1)</f>
        <v>化学・薬品</v>
      </c>
      <c r="F227" s="37" t="s">
        <v>22703</v>
      </c>
      <c r="G227" s="37" t="s">
        <v>22667</v>
      </c>
      <c r="H227" s="19">
        <v>1</v>
      </c>
      <c r="I227" s="19"/>
      <c r="J227" s="18" t="str">
        <f>MID(A227,FIND("（",$A227)+1,FIND("、",$A227)-FIND("（",$A227)-1)</f>
        <v>2015年12月1日</v>
      </c>
      <c r="K227" s="18" t="s">
        <v>22278</v>
      </c>
      <c r="L227" s="18" t="s">
        <v>22654</v>
      </c>
      <c r="M227" s="39" t="s">
        <v>20766</v>
      </c>
      <c r="N227" s="8" t="str">
        <f t="shared" si="34"/>
        <v>N0056409</v>
      </c>
      <c r="O227" s="43" t="s">
        <v>22840</v>
      </c>
    </row>
    <row r="228" spans="1:15" x14ac:dyDescent="0.15">
      <c r="B228" s="12" t="s">
        <v>22277</v>
      </c>
    </row>
    <row r="229" spans="1:15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44" t="str">
        <f t="shared" ref="D229:D234" si="43">LEFT(A229,FIND("（",A229)-1)</f>
        <v>東福製粉</v>
      </c>
      <c r="E229" s="37" t="str">
        <f>VLOOKUP(VALUE(LEFT(C229,2)),[1]証券コード!$A$1:$B$14,2,1)</f>
        <v>食品</v>
      </c>
      <c r="F229" s="37" t="s">
        <v>22703</v>
      </c>
      <c r="G229" s="37" t="s">
        <v>22674</v>
      </c>
      <c r="H229" s="19">
        <v>1</v>
      </c>
      <c r="I229" s="19"/>
      <c r="J229" s="18" t="str">
        <f t="shared" ref="J229:J234" si="44">MID(A229,FIND("（",$A229)+1,FIND("、",$A229)-FIND("（",$A229)-1)</f>
        <v>2016年1月25日</v>
      </c>
      <c r="K229" s="18" t="s">
        <v>22275</v>
      </c>
      <c r="L229" s="18" t="s">
        <v>22653</v>
      </c>
      <c r="M229" s="18" t="str">
        <f>VLOOKUP(D229,NKcode!$B$9:$C$6121,2,FALSE)</f>
        <v>0000195</v>
      </c>
      <c r="N229" s="8" t="str">
        <f t="shared" si="34"/>
        <v>N0000195</v>
      </c>
      <c r="O229" s="43" t="s">
        <v>22841</v>
      </c>
    </row>
    <row r="230" spans="1:15" x14ac:dyDescent="0.15">
      <c r="A230" s="8" t="s">
        <v>22274</v>
      </c>
      <c r="C230" s="8" t="str">
        <f t="shared" si="42"/>
        <v>6891</v>
      </c>
      <c r="D230" s="44" t="str">
        <f t="shared" si="43"/>
        <v>イーター電機工業</v>
      </c>
      <c r="E230" s="33" t="str">
        <f>VLOOKUP(VALUE(LEFT(C230,2)),[1]証券コード!$A$1:$B$14,2,1)</f>
        <v>機械・電機</v>
      </c>
      <c r="F230" s="33" t="s">
        <v>22705</v>
      </c>
      <c r="G230" s="33" t="s">
        <v>22694</v>
      </c>
      <c r="H230" s="9">
        <v>1</v>
      </c>
      <c r="J230" s="8" t="str">
        <f t="shared" si="44"/>
        <v>2016年7月25日</v>
      </c>
      <c r="K230" s="8" t="s">
        <v>22272</v>
      </c>
      <c r="L230" s="8" t="s">
        <v>22858</v>
      </c>
      <c r="M230" s="8" t="str">
        <f>VLOOKUP(D230,NKcode!$B$9:$C$6121,2,FALSE)</f>
        <v>0015092</v>
      </c>
      <c r="N230" s="8" t="str">
        <f t="shared" si="34"/>
        <v>N0015092</v>
      </c>
      <c r="O230" s="43" t="s">
        <v>22842</v>
      </c>
    </row>
    <row r="231" spans="1:15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3" t="str">
        <f>VLOOKUP(VALUE(LEFT(C231,2)),[1]証券コード!$A$1:$B$14,2,1)</f>
        <v>金融・商業・不動産</v>
      </c>
      <c r="F231" s="33" t="s">
        <v>22705</v>
      </c>
      <c r="G231" s="33" t="s">
        <v>22666</v>
      </c>
      <c r="H231" s="9">
        <v>1</v>
      </c>
      <c r="J231" s="8" t="str">
        <f t="shared" si="44"/>
        <v>2016年8月1日</v>
      </c>
      <c r="K231" s="8" t="s">
        <v>22272</v>
      </c>
      <c r="M231" s="8" t="s">
        <v>6953</v>
      </c>
      <c r="N231" s="8" t="str">
        <f t="shared" si="34"/>
        <v>N0005044</v>
      </c>
      <c r="O231" s="43" t="s">
        <v>22843</v>
      </c>
    </row>
    <row r="232" spans="1:15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37" t="str">
        <f>VLOOKUP(VALUE(LEFT(C232,2)),[1]証券コード!$A$1:$B$14,2,1)</f>
        <v>食品</v>
      </c>
      <c r="F232" s="37" t="s">
        <v>22704</v>
      </c>
      <c r="G232" s="37" t="s">
        <v>22667</v>
      </c>
      <c r="H232" s="19">
        <v>1</v>
      </c>
      <c r="I232" s="19"/>
      <c r="J232" s="18" t="str">
        <f t="shared" si="44"/>
        <v>2015年10月6日</v>
      </c>
      <c r="K232" s="18" t="s">
        <v>22270</v>
      </c>
      <c r="L232" s="18" t="s">
        <v>22651</v>
      </c>
      <c r="M232" s="18" t="str">
        <f>VLOOKUP(D232,NKcode!$B$9:$C$6121,2,FALSE)</f>
        <v>0030742</v>
      </c>
      <c r="N232" s="8" t="str">
        <f t="shared" si="34"/>
        <v>N0030742</v>
      </c>
      <c r="O232" s="43" t="s">
        <v>22844</v>
      </c>
    </row>
    <row r="233" spans="1:15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37" t="str">
        <f>VLOOKUP(VALUE(LEFT(C233,2)),[1]証券コード!$A$1:$B$14,2,1)</f>
        <v>運輸・通信・電気・ガス・サービス</v>
      </c>
      <c r="F233" s="37" t="s">
        <v>22705</v>
      </c>
      <c r="G233" s="37" t="s">
        <v>22683</v>
      </c>
      <c r="H233" s="19">
        <v>1</v>
      </c>
      <c r="I233" s="19"/>
      <c r="J233" s="18" t="str">
        <f t="shared" si="44"/>
        <v>2016年11月1日</v>
      </c>
      <c r="K233" s="18" t="s">
        <v>22268</v>
      </c>
      <c r="L233" s="18" t="s">
        <v>22651</v>
      </c>
      <c r="M233" s="18" t="str">
        <f>VLOOKUP(D233,NKcode!$B$9:$C$6121,2,FALSE)</f>
        <v>0010570</v>
      </c>
      <c r="N233" s="8" t="str">
        <f t="shared" si="34"/>
        <v>N0010570</v>
      </c>
      <c r="O233" s="43" t="s">
        <v>22845</v>
      </c>
    </row>
    <row r="234" spans="1:15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37" t="str">
        <f>VLOOKUP(VALUE(LEFT(C234,2)),[1]証券コード!$A$1:$B$14,2,1)</f>
        <v>繊維・紙</v>
      </c>
      <c r="F234" s="37" t="s">
        <v>22705</v>
      </c>
      <c r="G234" s="37" t="s">
        <v>22683</v>
      </c>
      <c r="H234" s="19">
        <v>1</v>
      </c>
      <c r="I234" s="19"/>
      <c r="J234" s="18" t="str">
        <f t="shared" si="44"/>
        <v>2016年11月1日</v>
      </c>
      <c r="K234" s="18" t="s">
        <v>22255</v>
      </c>
      <c r="L234" s="18" t="s">
        <v>22652</v>
      </c>
      <c r="M234" s="18" t="str">
        <f>VLOOKUP(D234,NKcode!$B$9:$C$6121,2,FALSE)</f>
        <v>0031253</v>
      </c>
      <c r="N234" s="8" t="str">
        <f t="shared" si="34"/>
        <v>N0031253</v>
      </c>
      <c r="O234" s="43" t="s">
        <v>22846</v>
      </c>
    </row>
    <row r="235" spans="1:15" x14ac:dyDescent="0.15">
      <c r="B235" s="12" t="s">
        <v>22266</v>
      </c>
    </row>
    <row r="236" spans="1:15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37" t="str">
        <f>VLOOKUP(VALUE(LEFT(C236,2)),[1]証券コード!$A$1:$B$14,2,1)</f>
        <v>繊維・紙</v>
      </c>
      <c r="F236" s="37" t="s">
        <v>22705</v>
      </c>
      <c r="G236" s="37" t="s">
        <v>22680</v>
      </c>
      <c r="H236" s="19">
        <v>1</v>
      </c>
      <c r="I236" s="19"/>
      <c r="J236" s="18" t="str">
        <f>MID(A236,FIND("（",$A236)+1,FIND("、",$A236)-FIND("（",$A236)-1)</f>
        <v>2017年3月28日</v>
      </c>
      <c r="K236" s="18" t="s">
        <v>22264</v>
      </c>
      <c r="L236" s="18" t="s">
        <v>22651</v>
      </c>
      <c r="M236" s="18" t="s">
        <v>16642</v>
      </c>
      <c r="N236" s="8" t="str">
        <f t="shared" si="34"/>
        <v>N0031382</v>
      </c>
      <c r="O236" s="43" t="s">
        <v>22847</v>
      </c>
    </row>
    <row r="237" spans="1:15" x14ac:dyDescent="0.15">
      <c r="A237" s="8" t="s">
        <v>22263</v>
      </c>
      <c r="C237" s="18" t="str">
        <f>MID(A237,FIND("）",A237)-4,4)</f>
        <v>7853</v>
      </c>
      <c r="D237" s="41" t="s">
        <v>22857</v>
      </c>
      <c r="E237" s="37" t="str">
        <f>VLOOKUP(VALUE(LEFT(C237,2)),[1]証券コード!$A$1:$B$14,2,1)</f>
        <v>自動車・輸送機</v>
      </c>
      <c r="F237" s="37" t="s">
        <v>22703</v>
      </c>
      <c r="G237" s="37" t="s">
        <v>22700</v>
      </c>
      <c r="H237" s="19">
        <v>1</v>
      </c>
      <c r="I237" s="19"/>
      <c r="J237" s="18" t="str">
        <f>MID(A237,FIND("（",$A237)+1,FIND("、",$A237)-FIND("（",$A237)-1)</f>
        <v>2017年5月29日</v>
      </c>
      <c r="K237" s="18" t="s">
        <v>22262</v>
      </c>
      <c r="L237" s="18" t="s">
        <v>22875</v>
      </c>
      <c r="M237" s="18" t="str">
        <f>VLOOKUP(D237,NKcode!$B$9:$C$6121,2,FALSE)</f>
        <v>0024331</v>
      </c>
      <c r="N237" s="8" t="str">
        <f t="shared" si="34"/>
        <v>N0024331</v>
      </c>
      <c r="O237" s="43" t="s">
        <v>22848</v>
      </c>
    </row>
    <row r="238" spans="1:15" x14ac:dyDescent="0.15">
      <c r="A238" s="8" t="s">
        <v>22261</v>
      </c>
      <c r="C238" s="8" t="str">
        <f>MID(A238,FIND("）",A238)-4,4)</f>
        <v>7312</v>
      </c>
      <c r="D238" s="40" t="str">
        <f>LEFT(A238,FIND("（",A238)-1)</f>
        <v>タカタ</v>
      </c>
      <c r="E238" s="33" t="str">
        <f>VLOOKUP(VALUE(LEFT(C238,2)),[1]証券コード!$A$1:$B$14,2,1)</f>
        <v>自動車・輸送機</v>
      </c>
      <c r="F238" s="33" t="s">
        <v>22702</v>
      </c>
      <c r="G238" s="33" t="s">
        <v>22700</v>
      </c>
      <c r="J238" s="13">
        <v>42943</v>
      </c>
      <c r="K238" s="8" t="s">
        <v>22252</v>
      </c>
      <c r="M238" s="8" t="str">
        <f>VLOOKUP(D238,NKcode!$B$9:$C$6121,2,FALSE)</f>
        <v>0031347</v>
      </c>
      <c r="N238" s="8" t="str">
        <f t="shared" si="34"/>
        <v>N0031347</v>
      </c>
      <c r="O238" s="43" t="s">
        <v>22849</v>
      </c>
    </row>
    <row r="239" spans="1:15" x14ac:dyDescent="0.15">
      <c r="A239" s="8" t="s">
        <v>22260</v>
      </c>
      <c r="C239" s="18" t="str">
        <f>MID(A239,FIND("）",A239)-4,4)</f>
        <v>6397</v>
      </c>
      <c r="D239" s="41" t="str">
        <f>LEFT(A239,FIND("（",A239)-1)</f>
        <v>郷鉄工所</v>
      </c>
      <c r="E239" s="37" t="str">
        <f>VLOOKUP(VALUE(LEFT(C239,2)),[1]証券コード!$A$1:$B$14,2,1)</f>
        <v>機械・電機</v>
      </c>
      <c r="F239" s="37"/>
      <c r="G239" s="37" t="s">
        <v>22671</v>
      </c>
      <c r="H239" s="19">
        <v>1</v>
      </c>
      <c r="I239" s="19"/>
      <c r="J239" s="18" t="str">
        <f>MID(A239,FIND("（",$A239)+1,FIND("、",$A239)-FIND("（",$A239)-1)</f>
        <v>2017年9月11日</v>
      </c>
      <c r="K239" s="18" t="s">
        <v>22255</v>
      </c>
      <c r="L239" s="18" t="s">
        <v>22876</v>
      </c>
      <c r="M239" s="18" t="str">
        <f>VLOOKUP(D239,NKcode!$B$9:$C$6121,2,FALSE)</f>
        <v>0001103</v>
      </c>
      <c r="N239" s="8" t="str">
        <f t="shared" si="34"/>
        <v>N0001103</v>
      </c>
      <c r="O239" s="43" t="s">
        <v>22850</v>
      </c>
    </row>
    <row r="240" spans="1:15" x14ac:dyDescent="0.15">
      <c r="B240" s="12" t="s">
        <v>22259</v>
      </c>
    </row>
    <row r="241" spans="1:15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3" t="str">
        <f>VLOOKUP(VALUE(LEFT(C241,2)),[1]証券コード!$A$1:$B$14,2,1)</f>
        <v>鉱業（石油/ガス開発）</v>
      </c>
      <c r="F241" s="33" t="s">
        <v>22702</v>
      </c>
      <c r="G241" s="33" t="s">
        <v>22695</v>
      </c>
      <c r="J241" s="8" t="str">
        <f>MID(A241,FIND("（",$A241)+1,FIND("、",$A241)-FIND("（",$A241)-1)</f>
        <v>2018年7月23日</v>
      </c>
      <c r="K241" s="8" t="s">
        <v>22257</v>
      </c>
      <c r="M241" s="8" t="str">
        <f>VLOOKUP(D241,NKcode!$B$9:$C$6121,2,FALSE)</f>
        <v>0014787</v>
      </c>
      <c r="N241" s="8" t="str">
        <f t="shared" si="34"/>
        <v>N0014787</v>
      </c>
      <c r="O241" s="43" t="s">
        <v>22851</v>
      </c>
    </row>
    <row r="242" spans="1:15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37" t="str">
        <f>VLOOKUP(VALUE(LEFT(C242,2)),[1]証券コード!$A$1:$B$14,2,1)</f>
        <v>機械・電機</v>
      </c>
      <c r="F242" s="37" t="s">
        <v>22705</v>
      </c>
      <c r="G242" s="37" t="s">
        <v>22694</v>
      </c>
      <c r="H242" s="19">
        <v>1</v>
      </c>
      <c r="I242" s="19"/>
      <c r="J242" s="18" t="str">
        <f>MID(A242,FIND("（",$A242)+1,FIND("、",$A242)-FIND("（",$A242)-1)</f>
        <v>2018年9月3日</v>
      </c>
      <c r="K242" s="18" t="s">
        <v>22639</v>
      </c>
      <c r="L242" s="18" t="s">
        <v>22651</v>
      </c>
      <c r="M242" s="18" t="s">
        <v>2240</v>
      </c>
      <c r="N242" s="8" t="str">
        <f t="shared" si="34"/>
        <v>N0000676</v>
      </c>
    </row>
    <row r="243" spans="1:15" x14ac:dyDescent="0.15">
      <c r="B243" s="12" t="s">
        <v>22254</v>
      </c>
    </row>
    <row r="244" spans="1:15" s="10" customFormat="1" x14ac:dyDescent="0.15">
      <c r="A244" s="10" t="s">
        <v>22253</v>
      </c>
      <c r="C244" s="10" t="str">
        <f>MID(A244,FIND("）",A244)-4,4)</f>
        <v>2228</v>
      </c>
      <c r="D244" s="47" t="str">
        <f>LEFT(A244,FIND("（",A244)-1)</f>
        <v>シベール</v>
      </c>
      <c r="E244" s="38" t="str">
        <f>VLOOKUP(VALUE(LEFT(C244,2)),[1]証券コード!$A$1:$B$14,2,1)</f>
        <v>食品</v>
      </c>
      <c r="F244" s="38" t="s">
        <v>22705</v>
      </c>
      <c r="G244" s="38" t="s">
        <v>22674</v>
      </c>
      <c r="H244" s="11"/>
      <c r="I244" s="11"/>
      <c r="J244" s="10" t="str">
        <f>MID(A244,FIND("（",$A244)+1,FIND("、",$A244)-FIND("（",$A244)-1)</f>
        <v>2019年2月18日</v>
      </c>
      <c r="K244" s="10" t="s">
        <v>22252</v>
      </c>
      <c r="L244" s="10" t="s">
        <v>22877</v>
      </c>
      <c r="M244" s="8" t="str">
        <f>VLOOKUP(D244,NKcode!$B$9:$C$6121,2,FALSE)</f>
        <v>0031076</v>
      </c>
      <c r="N244" s="8" t="str">
        <f t="shared" si="34"/>
        <v>N0031076</v>
      </c>
      <c r="O244" s="43" t="s">
        <v>22852</v>
      </c>
    </row>
    <row r="246" spans="1:15" x14ac:dyDescent="0.15">
      <c r="J246" s="8" t="s">
        <v>22635</v>
      </c>
      <c r="K246" s="8">
        <f>COUNTA(K57:K244)</f>
        <v>169</v>
      </c>
      <c r="L246" s="32"/>
    </row>
    <row r="247" spans="1:15" x14ac:dyDescent="0.15">
      <c r="F247" s="33" t="s">
        <v>22882</v>
      </c>
      <c r="G247" s="33">
        <v>457</v>
      </c>
      <c r="J247" s="8" t="s">
        <v>22636</v>
      </c>
      <c r="K247" s="8">
        <f>COUNTIF(K57:K244,J247)</f>
        <v>59</v>
      </c>
    </row>
    <row r="248" spans="1:15" ht="409.5" x14ac:dyDescent="0.15">
      <c r="F248" s="49" t="s">
        <v>22886</v>
      </c>
      <c r="G248" s="33">
        <f>234+252+95+111+51+127+67+217+46+34+93+11+19+58+56+26</f>
        <v>1497</v>
      </c>
      <c r="J248" s="8" t="s">
        <v>22637</v>
      </c>
      <c r="K248" s="8">
        <f>COUNTIF(K58:K246,J248)</f>
        <v>24</v>
      </c>
    </row>
    <row r="249" spans="1:15" ht="165" x14ac:dyDescent="0.15">
      <c r="F249" s="49" t="s">
        <v>22883</v>
      </c>
      <c r="G249" s="33">
        <f>89+15+41+38</f>
        <v>183</v>
      </c>
      <c r="J249" s="8" t="s">
        <v>22645</v>
      </c>
      <c r="K249" s="8">
        <f>COUNTIF(K59:K247,J249)</f>
        <v>14</v>
      </c>
    </row>
    <row r="250" spans="1:15" ht="49.5" x14ac:dyDescent="0.15">
      <c r="F250" s="49" t="s">
        <v>22884</v>
      </c>
      <c r="G250" s="33">
        <f>178+135</f>
        <v>313</v>
      </c>
      <c r="J250" s="8" t="s">
        <v>22646</v>
      </c>
      <c r="K250" s="8">
        <f>COUNTIF(K60:K248,J250)</f>
        <v>4</v>
      </c>
    </row>
    <row r="251" spans="1:15" x14ac:dyDescent="0.15">
      <c r="F251" s="33" t="s">
        <v>22885</v>
      </c>
      <c r="G251" s="33">
        <f>468+355+346</f>
        <v>1169</v>
      </c>
      <c r="J251" s="31" t="s">
        <v>22640</v>
      </c>
      <c r="K251" s="8">
        <f>COUNTIF(K57:K244,J251)</f>
        <v>3</v>
      </c>
    </row>
    <row r="252" spans="1:15" x14ac:dyDescent="0.15">
      <c r="F252" s="33" t="s">
        <v>22887</v>
      </c>
      <c r="G252" s="33">
        <f>10+6</f>
        <v>16</v>
      </c>
      <c r="J252" s="31" t="s">
        <v>22641</v>
      </c>
      <c r="K252" s="8">
        <f>COUNTIF(K58:K246,J252)</f>
        <v>9</v>
      </c>
    </row>
    <row r="253" spans="1:15" ht="198" x14ac:dyDescent="0.15">
      <c r="F253" s="49" t="s">
        <v>22888</v>
      </c>
      <c r="G253" s="33">
        <f>84+39+24</f>
        <v>147</v>
      </c>
      <c r="J253" s="8" t="s">
        <v>22638</v>
      </c>
      <c r="K253" s="8">
        <f>K246-K247-K248-K249-K250-K251-K252</f>
        <v>56</v>
      </c>
    </row>
    <row r="254" spans="1:15" x14ac:dyDescent="0.15">
      <c r="G254" s="33">
        <f>SUM(G247:G253)</f>
        <v>3782</v>
      </c>
    </row>
    <row r="255" spans="1:15" x14ac:dyDescent="0.15">
      <c r="G255" s="33">
        <f>G248/G254</f>
        <v>0.39582231623479641</v>
      </c>
      <c r="H255" s="52"/>
      <c r="I255" s="52"/>
      <c r="J255" s="52"/>
    </row>
    <row r="256" spans="1:15" x14ac:dyDescent="0.15">
      <c r="H256" s="52"/>
      <c r="I256" s="52"/>
      <c r="J256" s="52"/>
    </row>
    <row r="257" spans="6:10" x14ac:dyDescent="0.15">
      <c r="F257" s="8"/>
      <c r="G257" s="8" t="s">
        <v>22891</v>
      </c>
      <c r="H257" s="52" t="s">
        <v>22892</v>
      </c>
      <c r="I257" s="52"/>
      <c r="J257" s="52"/>
    </row>
    <row r="258" spans="6:10" ht="96" x14ac:dyDescent="0.15">
      <c r="F258" s="15" t="s">
        <v>22882</v>
      </c>
      <c r="G258" s="8">
        <v>457</v>
      </c>
      <c r="H258" s="53">
        <f>G258/$G$265</f>
        <v>0.12083553675304072</v>
      </c>
      <c r="I258" s="53"/>
      <c r="J258" s="53"/>
    </row>
    <row r="259" spans="6:10" ht="409.5" x14ac:dyDescent="0.15">
      <c r="F259" s="15" t="s">
        <v>22893</v>
      </c>
      <c r="G259" s="8">
        <f>234+252+95+111+51+127+67+217+46+34+93+11+19+58+56+26</f>
        <v>1497</v>
      </c>
      <c r="H259" s="53">
        <f t="shared" ref="H259:H264" si="45">G259/$G$265</f>
        <v>0.39582231623479641</v>
      </c>
      <c r="I259" s="53"/>
      <c r="J259" s="53"/>
    </row>
    <row r="260" spans="6:10" ht="409.5" x14ac:dyDescent="0.15">
      <c r="F260" s="15" t="s">
        <v>22883</v>
      </c>
      <c r="G260" s="8">
        <f>89+15+41+38</f>
        <v>183</v>
      </c>
      <c r="H260" s="53">
        <f t="shared" si="45"/>
        <v>4.8387096774193547E-2</v>
      </c>
      <c r="I260" s="53"/>
      <c r="J260" s="53"/>
    </row>
    <row r="261" spans="6:10" ht="120" x14ac:dyDescent="0.15">
      <c r="F261" s="15" t="s">
        <v>22884</v>
      </c>
      <c r="G261" s="8">
        <f>178+135</f>
        <v>313</v>
      </c>
      <c r="H261" s="53">
        <f t="shared" si="45"/>
        <v>8.2760444209413003E-2</v>
      </c>
      <c r="I261" s="53"/>
      <c r="J261" s="53"/>
    </row>
    <row r="262" spans="6:10" ht="192" x14ac:dyDescent="0.15">
      <c r="F262" s="15" t="s">
        <v>22889</v>
      </c>
      <c r="G262" s="8">
        <f>468+355+346</f>
        <v>1169</v>
      </c>
      <c r="H262" s="53">
        <f t="shared" si="45"/>
        <v>0.30909571655208884</v>
      </c>
      <c r="I262" s="53"/>
      <c r="J262" s="53"/>
    </row>
    <row r="263" spans="6:10" ht="168" x14ac:dyDescent="0.15">
      <c r="F263" s="15" t="s">
        <v>22890</v>
      </c>
      <c r="G263" s="8">
        <f>10+6</f>
        <v>16</v>
      </c>
      <c r="H263" s="53">
        <f t="shared" si="45"/>
        <v>4.2305658381808567E-3</v>
      </c>
      <c r="I263" s="53"/>
      <c r="J263" s="53"/>
    </row>
    <row r="264" spans="6:10" ht="409.5" x14ac:dyDescent="0.15">
      <c r="F264" s="15" t="s">
        <v>22888</v>
      </c>
      <c r="G264" s="8">
        <f>84+39+24</f>
        <v>147</v>
      </c>
      <c r="H264" s="53">
        <f t="shared" si="45"/>
        <v>3.8868323638286621E-2</v>
      </c>
      <c r="I264" s="53"/>
      <c r="J264" s="53"/>
    </row>
    <row r="265" spans="6:10" x14ac:dyDescent="0.15">
      <c r="G265" s="33">
        <f>SUM(G258:G264)</f>
        <v>3782</v>
      </c>
      <c r="H265" s="54">
        <f t="shared" ref="H265" si="46">SUM(H258:H264)</f>
        <v>1</v>
      </c>
      <c r="I265" s="54"/>
      <c r="J265" s="54"/>
    </row>
    <row r="266" spans="6:10" x14ac:dyDescent="0.15">
      <c r="H266" s="52"/>
      <c r="I266" s="52"/>
      <c r="J266" s="52"/>
    </row>
  </sheetData>
  <dataConsolidate link="1"/>
  <mergeCells count="12">
    <mergeCell ref="H266:J266"/>
    <mergeCell ref="H255:J255"/>
    <mergeCell ref="H256:J256"/>
    <mergeCell ref="H257:J257"/>
    <mergeCell ref="H258:J258"/>
    <mergeCell ref="H259:J259"/>
    <mergeCell ref="H260:J260"/>
    <mergeCell ref="H261:J261"/>
    <mergeCell ref="H262:J262"/>
    <mergeCell ref="H263:J263"/>
    <mergeCell ref="H264:J264"/>
    <mergeCell ref="H265:J265"/>
  </mergeCells>
  <phoneticPr fontId="10"/>
  <hyperlinks>
    <hyperlink ref="O65" r:id="rId1" xr:uid="{E581AD5E-8BFC-495D-B6C6-3E21DF3A4EAB}"/>
    <hyperlink ref="O57" r:id="rId2" xr:uid="{FDE2A94D-E1CC-462A-992E-CF710DB753CC}"/>
    <hyperlink ref="O59" r:id="rId3" xr:uid="{CA6B9B4B-BD91-4CA6-AFC5-BA2CF0438C34}"/>
    <hyperlink ref="O62" r:id="rId4" xr:uid="{6073DF12-F871-4161-81C0-9F29E47846CD}"/>
    <hyperlink ref="O64" r:id="rId5" xr:uid="{59B240A2-3D7A-4A34-84D0-0CD75E9206D0}"/>
    <hyperlink ref="O63" r:id="rId6" xr:uid="{D8454AC9-19C7-411F-9954-A9EDFDB1D445}"/>
    <hyperlink ref="O68" r:id="rId7" xr:uid="{E5381B54-808E-46F7-800B-A114407EA500}"/>
    <hyperlink ref="O69" r:id="rId8" xr:uid="{16C6FF02-3894-4E98-9883-60E6907EF493}"/>
    <hyperlink ref="O70" r:id="rId9" xr:uid="{0849EBE2-4C92-4A89-A16F-E2E5F113ED02}"/>
    <hyperlink ref="O71" r:id="rId10" xr:uid="{E504E715-EACC-44E1-A215-EDE011E86365}"/>
    <hyperlink ref="O72" r:id="rId11" xr:uid="{26C2FC66-7277-4F84-A0F7-012F44CB9437}"/>
    <hyperlink ref="O74" r:id="rId12" xr:uid="{8F52A34C-0662-499A-8DF0-97A1FA47C372}"/>
    <hyperlink ref="O76" r:id="rId13" xr:uid="{0EA0A0E3-CC47-4311-A247-2234B4A0B009}"/>
    <hyperlink ref="O77" r:id="rId14" xr:uid="{3408E3EF-C398-420F-885B-310E27298F36}"/>
    <hyperlink ref="O78" r:id="rId15" xr:uid="{52B91F99-B644-4CCA-9709-68AD24C7698D}"/>
    <hyperlink ref="O79" r:id="rId16" xr:uid="{6B8C3DA4-8A14-4FE8-872D-1629095BBF4E}"/>
    <hyperlink ref="O80" r:id="rId17" xr:uid="{1C378372-CFB7-4A7A-8EAF-E66B0741BC05}"/>
    <hyperlink ref="O81" r:id="rId18" xr:uid="{690E93EE-189B-44C6-A632-29B5142BA554}"/>
    <hyperlink ref="O83" r:id="rId19" xr:uid="{037CA088-F16E-4FC6-A22C-CD4054A6B7B4}"/>
    <hyperlink ref="O84" r:id="rId20" xr:uid="{D267C3D6-682A-4202-8C5C-74B2FF2A200F}"/>
    <hyperlink ref="O85" r:id="rId21" xr:uid="{906E6A84-AC4B-4EAC-801F-6652F719A43E}"/>
    <hyperlink ref="O87" r:id="rId22" xr:uid="{033B7F42-ADC1-4C7D-A0EF-CB3C94A01EAF}"/>
    <hyperlink ref="O88" r:id="rId23" xr:uid="{4B458EC8-1A10-4209-9D48-33F33E3E4C6B}"/>
    <hyperlink ref="O89" r:id="rId24" xr:uid="{DA4E98F6-8ED8-42E4-A13B-95694E723EB5}"/>
    <hyperlink ref="O90" r:id="rId25" xr:uid="{817684E6-3E9A-423A-B621-5AF62E16DF05}"/>
    <hyperlink ref="O91" r:id="rId26" xr:uid="{B6157E1B-D143-4395-87A8-4ECB168C70BB}"/>
    <hyperlink ref="O92" r:id="rId27" xr:uid="{BF7B5AA2-21D4-4A12-B15B-EA4BB32FDB2D}"/>
    <hyperlink ref="O93" r:id="rId28" xr:uid="{E350D717-8C2A-4639-90DA-3F6F97479FE9}"/>
    <hyperlink ref="O94" r:id="rId29" xr:uid="{6182204C-6868-4785-86ED-2E6589F34A2F}"/>
    <hyperlink ref="O95" r:id="rId30" xr:uid="{FB09402E-917B-4E30-A080-A7824580F7A8}"/>
    <hyperlink ref="O97" r:id="rId31" xr:uid="{DA95B094-978C-424A-8AD0-4207AF8CD515}"/>
    <hyperlink ref="O98" r:id="rId32" xr:uid="{334EE4B3-C5A6-4C92-BFB3-347D2637A157}"/>
    <hyperlink ref="O102" r:id="rId33" xr:uid="{9F865C64-1434-4F69-B913-8F38572E9E37}"/>
    <hyperlink ref="O103" r:id="rId34" xr:uid="{B9565859-E2F9-41B2-A7EF-451BA4CAAD7A}"/>
    <hyperlink ref="O105" r:id="rId35" xr:uid="{159F2080-7A7A-48AE-9B22-897D534872BB}"/>
    <hyperlink ref="O109" r:id="rId36" xr:uid="{5803E81E-7AA9-486F-A714-D5BC51886128}"/>
    <hyperlink ref="O112" r:id="rId37" xr:uid="{C99DF3C2-EBAC-489F-9C72-E3F12E8A4438}"/>
    <hyperlink ref="O113" r:id="rId38" xr:uid="{B42E955F-503F-4BFF-BD09-DD864460881C}"/>
    <hyperlink ref="O116" r:id="rId39" xr:uid="{9AE2F064-CF70-4F3F-A080-FA2514A8BC2F}"/>
    <hyperlink ref="O118" r:id="rId40" xr:uid="{9C7B98EF-C9E5-40B8-962B-49B98E4B782E}"/>
    <hyperlink ref="O120" r:id="rId41" xr:uid="{0425C4D0-3825-48DB-83D6-5904A9406C85}"/>
    <hyperlink ref="O121" r:id="rId42" xr:uid="{FA9E53B6-9FB3-41C8-9F05-3C0AD05F16AD}"/>
    <hyperlink ref="O123" r:id="rId43" xr:uid="{E682DF25-A86C-4CEB-A6C5-C40E3ADEE074}"/>
    <hyperlink ref="O124" r:id="rId44" xr:uid="{F2A12156-8491-476D-8FBB-98978FA3C6CA}"/>
    <hyperlink ref="O126" r:id="rId45" xr:uid="{608E9C4F-E918-4B83-8B7D-93AFC8C90704}"/>
    <hyperlink ref="O127" r:id="rId46" xr:uid="{BBC1412C-C197-4F9A-90EC-C80150F042CC}"/>
    <hyperlink ref="O130" r:id="rId47" xr:uid="{1E2C1D44-2FF9-41F4-AA16-8BFD131E2AAF}"/>
    <hyperlink ref="O133" r:id="rId48" xr:uid="{A98425B6-0C75-4DA3-90EE-947B9C69D7E2}"/>
    <hyperlink ref="O134" r:id="rId49" xr:uid="{E7535045-9EE0-4E9F-A0AD-2DDB2CEC9C23}"/>
    <hyperlink ref="O135" r:id="rId50" xr:uid="{111954CD-9E9F-4239-B563-C5D18E86D62B}"/>
    <hyperlink ref="O137" r:id="rId51" xr:uid="{FB0ECCDE-DB36-4F04-B2DE-BFD5BEE232D2}"/>
    <hyperlink ref="O139" r:id="rId52" xr:uid="{64F78345-4D79-42C1-94DB-C9EF7064DD2D}"/>
    <hyperlink ref="O140" r:id="rId53" xr:uid="{31E56542-B15A-4627-AAB7-D2FA3DA63F80}"/>
    <hyperlink ref="O141" r:id="rId54" xr:uid="{86DA09D9-4E6F-443F-8284-C1146633B593}"/>
    <hyperlink ref="O142" r:id="rId55" xr:uid="{6D5B8A2B-ACFF-4535-99DB-F99F899E96CD}"/>
    <hyperlink ref="O143" r:id="rId56" xr:uid="{CF278759-F544-4C64-AEA4-AF0B430D0E40}"/>
    <hyperlink ref="O144" r:id="rId57" xr:uid="{FB88D103-1A4D-4760-9460-447C6812638A}"/>
    <hyperlink ref="O145" r:id="rId58" xr:uid="{530B0386-0DCE-42E3-89AC-C4465DD155D9}"/>
    <hyperlink ref="O146" r:id="rId59" xr:uid="{B7EDB269-02BA-45EE-A82B-CBC49FC68F0D}"/>
    <hyperlink ref="O147" r:id="rId60" xr:uid="{0FFD29F2-65CE-496A-88CB-561404544F04}"/>
    <hyperlink ref="O148" r:id="rId61" xr:uid="{3B946B66-0600-48B8-9D51-08254A0656B1}"/>
    <hyperlink ref="O149" r:id="rId62" xr:uid="{8F2736A8-2776-447E-871A-E2EC9927C9F6}"/>
    <hyperlink ref="O150" r:id="rId63" xr:uid="{F44E98F0-E433-40AE-A958-519815A55A2F}"/>
    <hyperlink ref="O151" r:id="rId64" xr:uid="{46C7BE3E-4ECB-472E-91EE-5C06063868A3}"/>
    <hyperlink ref="O152" r:id="rId65" xr:uid="{28DE768A-2FEB-4BE5-9F41-320B0D613820}"/>
    <hyperlink ref="O153" r:id="rId66" xr:uid="{20E275F8-0CDB-4C98-9CCE-3A39EC2CD125}"/>
    <hyperlink ref="O154" r:id="rId67" xr:uid="{E148AA22-0308-4074-A491-28C0FFD97BBA}"/>
    <hyperlink ref="O155" r:id="rId68" xr:uid="{E17D4FC4-96FB-4808-BC80-AE5F3D442BD2}"/>
    <hyperlink ref="O156" r:id="rId69" xr:uid="{B877DDF1-4BAD-475F-87FC-D16A66F77F6A}"/>
    <hyperlink ref="O158" r:id="rId70" xr:uid="{CBDBF461-F77D-431D-A5FB-F32F1853B1BC}"/>
    <hyperlink ref="O159" r:id="rId71" xr:uid="{012145D2-810E-45AD-AE5A-3834DDA5BC38}"/>
    <hyperlink ref="O161" r:id="rId72" xr:uid="{00818C0A-0511-4E82-851F-D4091454704C}"/>
    <hyperlink ref="O162" r:id="rId73" xr:uid="{D7B03586-FC3F-4E87-94D0-86D26D6DD578}"/>
    <hyperlink ref="O163" r:id="rId74" xr:uid="{9114FA30-E3F5-4B56-B62F-084C75846852}"/>
    <hyperlink ref="O164" r:id="rId75" xr:uid="{541364E5-D267-4034-8AC8-90EC945C09EE}"/>
    <hyperlink ref="O165" r:id="rId76" xr:uid="{37BB3C42-5744-4AAD-82EA-8D8951AAAB23}"/>
    <hyperlink ref="O166" r:id="rId77" xr:uid="{2F0F6D18-1103-407D-B869-7DC69451AEAD}"/>
    <hyperlink ref="O167" r:id="rId78" xr:uid="{D38EAE14-9929-4A2E-83AC-7A6272E904CE}"/>
    <hyperlink ref="O168" r:id="rId79" xr:uid="{DEC26046-562F-4972-BCC0-5EB2C3CB18EF}"/>
    <hyperlink ref="O169" r:id="rId80" xr:uid="{5FFF78B9-5332-4986-A97B-C46AAF84F86B}"/>
    <hyperlink ref="O170" r:id="rId81" xr:uid="{D22CB342-9E48-41DE-8A22-D8C9339BCF83}"/>
    <hyperlink ref="O171" r:id="rId82" xr:uid="{A22854A2-A6C7-40FE-BF67-A3FF3C4F0E50}"/>
    <hyperlink ref="O172" r:id="rId83" xr:uid="{71EABD85-C27E-4F32-86D9-ABEC0AE9E0C1}"/>
    <hyperlink ref="O173" r:id="rId84" xr:uid="{11A9A09D-12BC-4D83-9B10-1A16746006E3}"/>
    <hyperlink ref="O174" r:id="rId85" xr:uid="{2B157CA6-5CF6-4DBB-BB7F-C8E9198DD136}"/>
    <hyperlink ref="O175" r:id="rId86" xr:uid="{D11DAE45-B5A6-4E8A-8716-83E29BCD5343}"/>
    <hyperlink ref="O176" r:id="rId87" xr:uid="{D3493700-653B-4793-8332-B9614351CCD8}"/>
    <hyperlink ref="O177" r:id="rId88" xr:uid="{8F003F99-A730-4666-9A11-4FA085EE46F6}"/>
    <hyperlink ref="O178" r:id="rId89" xr:uid="{A6443F6B-0CA2-4A8B-917B-6ED14CECD78E}"/>
    <hyperlink ref="O179" r:id="rId90" xr:uid="{CC572C81-7D43-4AEA-B8BB-7A2E8755C0F3}"/>
    <hyperlink ref="O180" r:id="rId91" xr:uid="{BFCD3860-3EDE-4CD8-937E-8C1315E32F1C}"/>
    <hyperlink ref="O181" r:id="rId92" xr:uid="{FBCBFAFD-4CFB-4061-BFDB-B41B95BE8CD3}"/>
    <hyperlink ref="O182" r:id="rId93" xr:uid="{2104B1AC-031C-453F-A9E1-6D73CDC2EFC5}"/>
    <hyperlink ref="O183" r:id="rId94" xr:uid="{C65E0DFE-581E-4A60-9ADC-11310C47E06D}"/>
    <hyperlink ref="O185" r:id="rId95" xr:uid="{CD98DC31-2EF7-4361-A008-7DD6A6F30458}"/>
    <hyperlink ref="O186" r:id="rId96" xr:uid="{7C9F9C9C-B8F3-4EAF-B087-9A6C9EA7914D}"/>
    <hyperlink ref="O187" r:id="rId97" xr:uid="{77F25D0C-11A8-4187-8DD2-6882E8A3E117}"/>
    <hyperlink ref="O188" r:id="rId98" xr:uid="{D45F90F3-80D6-496A-9D8F-EBC6F220F985}"/>
    <hyperlink ref="O189" r:id="rId99" xr:uid="{76CA422C-A1FC-4EAD-92F8-A1DFBD471A7B}"/>
    <hyperlink ref="O191" r:id="rId100" xr:uid="{3210C5CE-705B-449E-A525-F615CB32A564}"/>
    <hyperlink ref="O192" r:id="rId101" xr:uid="{0C152281-0C1E-492B-B73B-88FF4EB0610C}"/>
    <hyperlink ref="O193" r:id="rId102" xr:uid="{5232938C-01DE-40B2-B21E-05D8BAED69CF}"/>
    <hyperlink ref="O194" r:id="rId103" xr:uid="{96EB087F-1F88-4E54-9E1F-851C7D85DE8D}"/>
    <hyperlink ref="O195" r:id="rId104" xr:uid="{715558A1-5945-4253-9B86-48E14A53D33A}"/>
    <hyperlink ref="O196" r:id="rId105" xr:uid="{E470824A-7B30-4D28-A814-940795443964}"/>
    <hyperlink ref="O197" r:id="rId106" xr:uid="{81DFBCCB-935D-4012-AAD9-2063035A4542}"/>
    <hyperlink ref="O199" r:id="rId107" xr:uid="{5F0A0FDD-1009-4C62-8EAB-748D98800D81}"/>
    <hyperlink ref="O200" r:id="rId108" xr:uid="{3FDBAAB2-130A-4DE2-A1EB-12F2CC1F6A5D}"/>
    <hyperlink ref="O201" r:id="rId109" xr:uid="{78C14729-A5F1-40CC-84EC-D04AAC56D543}"/>
    <hyperlink ref="O202" r:id="rId110" xr:uid="{14ED8065-BC21-4459-AD6D-2CEFE7E64041}"/>
    <hyperlink ref="O203" r:id="rId111" xr:uid="{938ECD69-E4BB-4D1F-B5FA-4ED3DF75B0B9}"/>
    <hyperlink ref="O204" r:id="rId112" xr:uid="{A926F116-A789-4CE8-8C4A-B445ED1B4123}"/>
    <hyperlink ref="O206" r:id="rId113" xr:uid="{CB348B7F-0BB4-45AA-83E5-BD8D8F218D02}"/>
    <hyperlink ref="O207" r:id="rId114" xr:uid="{41C1F7C9-BF35-46DE-8C1B-BFCA1053392C}"/>
    <hyperlink ref="O208" r:id="rId115" xr:uid="{1C6F0E89-6FCC-4B4D-B55B-2E10BC8EBBB5}"/>
    <hyperlink ref="O209" r:id="rId116" xr:uid="{AB7E4A1B-D4C3-4F6C-80F7-B036CEBBFE47}"/>
    <hyperlink ref="O210" r:id="rId117" xr:uid="{D06B038C-F0BB-4A78-90ED-62D7952AA2B7}"/>
    <hyperlink ref="O212" r:id="rId118" xr:uid="{416F3E34-D2BB-438A-8EE3-AF68AF9DB44C}"/>
    <hyperlink ref="O213" r:id="rId119" xr:uid="{9BD8452D-4876-4CD7-BC54-6337CB4B2E09}"/>
    <hyperlink ref="O214" r:id="rId120" xr:uid="{B89D8298-8D72-4ECE-AAB1-E4EDC6D7F448}"/>
    <hyperlink ref="O215" r:id="rId121" xr:uid="{23DB25EA-63DD-4125-B6ED-E815F34993BC}"/>
    <hyperlink ref="O216" r:id="rId122" xr:uid="{34E3842D-FD18-44C8-932E-EB4B130108B7}"/>
    <hyperlink ref="O218" r:id="rId123" xr:uid="{A3B206CB-7446-4B6E-9D09-70ED8FADCBCA}"/>
    <hyperlink ref="O220" r:id="rId124" xr:uid="{BA51CD52-AB17-42A5-A3D6-F6C964679620}"/>
    <hyperlink ref="O221" r:id="rId125" xr:uid="{C0159D91-5022-4A4F-ADA5-A53A9413FDDF}"/>
    <hyperlink ref="O222" r:id="rId126" xr:uid="{588D183C-5306-4E55-9ED7-79A2384AB265}"/>
    <hyperlink ref="O223" r:id="rId127" xr:uid="{146E2D83-97F0-40C5-AB1C-387F6D98B538}"/>
    <hyperlink ref="O224" r:id="rId128" xr:uid="{357121A8-4686-4A8F-9AA6-E458E36978EE}"/>
    <hyperlink ref="O226" r:id="rId129" xr:uid="{21C37D82-85FC-4B9E-B6F2-8A0ECD820FEA}"/>
    <hyperlink ref="O227" r:id="rId130" xr:uid="{200CE821-514D-41A9-ADAA-30CB312CB2A9}"/>
    <hyperlink ref="O229" r:id="rId131" xr:uid="{B7CE1335-350C-47F0-84E0-CAFE34A82D9A}"/>
    <hyperlink ref="O230" r:id="rId132" xr:uid="{BEA843A3-3990-4D72-A913-EAD852CD3EC5}"/>
    <hyperlink ref="O231" r:id="rId133" xr:uid="{9DAC1FE0-6705-451A-81D0-50A48F08BD4B}"/>
    <hyperlink ref="O232" r:id="rId134" xr:uid="{A3A032F9-55C8-482B-BAC9-61726C3BC882}"/>
    <hyperlink ref="O233" r:id="rId135" xr:uid="{263D72A5-9CB5-4A5A-A44F-49B0D7F6C93F}"/>
    <hyperlink ref="O234" r:id="rId136" xr:uid="{7A31B65D-F6F4-4E44-8E97-6410803D5441}"/>
    <hyperlink ref="O236" r:id="rId137" xr:uid="{A1A55A9B-3BE7-4631-88A4-1AF7F6A388C5}"/>
    <hyperlink ref="O237" r:id="rId138" xr:uid="{592E2906-7349-4880-9CEA-5BE2AA06C1EC}"/>
    <hyperlink ref="O238" r:id="rId139" xr:uid="{85B17899-80EC-4BD4-BCEF-125A7548F680}"/>
    <hyperlink ref="O239" r:id="rId140" xr:uid="{0C8B4771-68AA-4888-A5B2-6A6BD9B3D770}"/>
    <hyperlink ref="O241" r:id="rId141" xr:uid="{AB091514-627C-462C-9FFC-1B5551790AB8}"/>
    <hyperlink ref="O244" r:id="rId142" xr:uid="{5B2D3BCC-A3FD-46D4-BD83-3527E80B0D7B}"/>
    <hyperlink ref="O61" r:id="rId143" xr:uid="{AABF6616-F6D6-4E33-B7A0-3D3E349140F7}"/>
  </hyperlinks>
  <pageMargins left="0.7" right="0.7" top="0.75" bottom="0.75" header="0.3" footer="0.3"/>
  <pageSetup paperSize="9" scale="35" fitToHeight="0" orientation="portrait" r:id="rId14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0582-854C-4AC5-B4E1-7DD89A4C32CE}">
  <dimension ref="A1"/>
  <sheetViews>
    <sheetView zoomScale="160" zoomScaleNormal="160" workbookViewId="0"/>
  </sheetViews>
  <sheetFormatPr defaultRowHeight="11.25" x14ac:dyDescent="0.15"/>
  <sheetData/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検索条件シート</vt:lpstr>
      <vt:lpstr>NKcode</vt:lpstr>
      <vt:lpstr>倒産企業一覧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MAGA_Phantom</cp:lastModifiedBy>
  <dcterms:created xsi:type="dcterms:W3CDTF">2019-05-17T02:57:27Z</dcterms:created>
  <dcterms:modified xsi:type="dcterms:W3CDTF">2019-09-09T07:03:51Z</dcterms:modified>
</cp:coreProperties>
</file>